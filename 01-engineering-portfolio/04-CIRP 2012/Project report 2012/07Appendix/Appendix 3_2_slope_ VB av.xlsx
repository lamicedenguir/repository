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-1125" yWindow="4965" windowWidth="19200" windowHeight="1164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G17" i="1"/>
  <c r="G30" l="1"/>
  <c r="G32"/>
  <c r="G33"/>
  <c r="G35"/>
  <c r="G36"/>
  <c r="G29"/>
  <c r="G18"/>
  <c r="G20"/>
  <c r="G21"/>
  <c r="G23"/>
  <c r="G24"/>
  <c r="F9" l="1"/>
  <c r="F6"/>
  <c r="G34" l="1"/>
  <c r="G22"/>
  <c r="G31"/>
  <c r="G19"/>
</calcChain>
</file>

<file path=xl/sharedStrings.xml><?xml version="1.0" encoding="utf-8"?>
<sst xmlns="http://schemas.openxmlformats.org/spreadsheetml/2006/main" count="71" uniqueCount="41">
  <si>
    <t>0374E3</t>
    <phoneticPr fontId="1" type="noConversion"/>
  </si>
  <si>
    <t>0429E2</t>
    <phoneticPr fontId="1" type="noConversion"/>
  </si>
  <si>
    <t>0429E4</t>
    <phoneticPr fontId="1" type="noConversion"/>
  </si>
  <si>
    <t>0699E4</t>
    <phoneticPr fontId="1" type="noConversion"/>
  </si>
  <si>
    <t>0699E2</t>
    <phoneticPr fontId="1" type="noConversion"/>
  </si>
  <si>
    <t>0025E2</t>
    <phoneticPr fontId="1" type="noConversion"/>
  </si>
  <si>
    <t>0025E4</t>
    <phoneticPr fontId="1" type="noConversion"/>
  </si>
  <si>
    <t>0244E2</t>
    <phoneticPr fontId="1" type="noConversion"/>
  </si>
  <si>
    <t>0532E1</t>
    <phoneticPr fontId="1" type="noConversion"/>
  </si>
  <si>
    <t>0532E4</t>
    <phoneticPr fontId="1" type="noConversion"/>
  </si>
  <si>
    <t>0575E2</t>
    <phoneticPr fontId="1" type="noConversion"/>
  </si>
  <si>
    <t>0575E4</t>
    <phoneticPr fontId="1" type="noConversion"/>
  </si>
  <si>
    <t>0639E1</t>
    <phoneticPr fontId="1" type="noConversion"/>
  </si>
  <si>
    <t>0639E4</t>
    <phoneticPr fontId="1" type="noConversion"/>
  </si>
  <si>
    <t>abrasive flow machining</t>
  </si>
  <si>
    <t>honing</t>
  </si>
  <si>
    <t>laser machining</t>
  </si>
  <si>
    <t>dragging</t>
  </si>
  <si>
    <t>reference</t>
  </si>
  <si>
    <t>abrasive blasting</t>
  </si>
  <si>
    <t>brushing</t>
    <phoneticPr fontId="2" type="noConversion"/>
  </si>
  <si>
    <t>magneto-abrasive machining</t>
  </si>
  <si>
    <r>
      <t>V</t>
    </r>
    <r>
      <rPr>
        <b/>
        <vertAlign val="subscript"/>
        <sz val="11"/>
        <color theme="1"/>
        <rFont val="Calibri"/>
        <family val="3"/>
        <charset val="134"/>
        <scheme val="minor"/>
      </rPr>
      <t>B av</t>
    </r>
    <phoneticPr fontId="2" type="noConversion"/>
  </si>
  <si>
    <t>preparation</t>
    <phoneticPr fontId="2" type="noConversion"/>
  </si>
  <si>
    <t>average VB av</t>
    <phoneticPr fontId="2" type="noConversion"/>
  </si>
  <si>
    <t>reference</t>
    <phoneticPr fontId="2" type="noConversion"/>
  </si>
  <si>
    <t>0374E1</t>
    <phoneticPr fontId="1" type="noConversion"/>
  </si>
  <si>
    <t>0374</t>
    <phoneticPr fontId="2" type="noConversion"/>
  </si>
  <si>
    <t>0429</t>
    <phoneticPr fontId="2" type="noConversion"/>
  </si>
  <si>
    <t>0699</t>
    <phoneticPr fontId="2" type="noConversion"/>
  </si>
  <si>
    <t>0025</t>
    <phoneticPr fontId="2" type="noConversion"/>
  </si>
  <si>
    <t>0575</t>
    <phoneticPr fontId="2" type="noConversion"/>
  </si>
  <si>
    <t>0639</t>
    <phoneticPr fontId="2" type="noConversion"/>
  </si>
  <si>
    <t>0532</t>
    <phoneticPr fontId="2" type="noConversion"/>
  </si>
  <si>
    <t>0244</t>
    <phoneticPr fontId="2" type="noConversion"/>
  </si>
  <si>
    <t>insert</t>
    <phoneticPr fontId="2" type="noConversion"/>
  </si>
  <si>
    <t>preparation</t>
    <phoneticPr fontId="2" type="noConversion"/>
  </si>
  <si>
    <t>max</t>
    <phoneticPr fontId="2" type="noConversion"/>
  </si>
  <si>
    <t>variance = max - av</t>
    <phoneticPr fontId="2" type="noConversion"/>
  </si>
  <si>
    <t>variance = av - min</t>
    <phoneticPr fontId="2" type="noConversion"/>
  </si>
  <si>
    <t>Slope</t>
    <phoneticPr fontId="2" type="noConversion"/>
  </si>
</sst>
</file>

<file path=xl/styles.xml><?xml version="1.0" encoding="utf-8"?>
<styleSheet xmlns="http://schemas.openxmlformats.org/spreadsheetml/2006/main">
  <numFmts count="1">
    <numFmt numFmtId="164" formatCode="0.00000_ "/>
  </numFmts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9"/>
      <name val="宋体"/>
      <family val="3"/>
      <charset val="134"/>
    </font>
    <font>
      <b/>
      <sz val="11"/>
      <color theme="1"/>
      <name val="Calibri"/>
      <family val="3"/>
      <charset val="134"/>
      <scheme val="minor"/>
    </font>
    <font>
      <b/>
      <vertAlign val="subscript"/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49" fontId="0" fillId="0" borderId="0" xfId="0" applyNumberFormat="1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plotArea>
      <c:layout/>
      <c:barChart>
        <c:barDir val="col"/>
        <c:grouping val="clustered"/>
        <c:ser>
          <c:idx val="0"/>
          <c:order val="0"/>
          <c:val>
            <c:numRef>
              <c:f>Sheet1!$B$4:$B$18</c:f>
              <c:numCache>
                <c:formatCode>General</c:formatCode>
                <c:ptCount val="15"/>
                <c:pt idx="0">
                  <c:v>5.0000000000000001E-4</c:v>
                </c:pt>
                <c:pt idx="1">
                  <c:v>2.9999999999999997E-4</c:v>
                </c:pt>
                <c:pt idx="2">
                  <c:v>5.9999999999999995E-4</c:v>
                </c:pt>
                <c:pt idx="3">
                  <c:v>4.0000000000000002E-4</c:v>
                </c:pt>
                <c:pt idx="4">
                  <c:v>5.0000000000000001E-4</c:v>
                </c:pt>
                <c:pt idx="5">
                  <c:v>5.9999999999999995E-4</c:v>
                </c:pt>
                <c:pt idx="6">
                  <c:v>4.0000000000000002E-4</c:v>
                </c:pt>
                <c:pt idx="7">
                  <c:v>2.9999999999999997E-4</c:v>
                </c:pt>
                <c:pt idx="8">
                  <c:v>4.0000000000000002E-4</c:v>
                </c:pt>
                <c:pt idx="9">
                  <c:v>8.0000000000000004E-4</c:v>
                </c:pt>
                <c:pt idx="10">
                  <c:v>1.1999999999999999E-3</c:v>
                </c:pt>
                <c:pt idx="11">
                  <c:v>8.9999999999999998E-4</c:v>
                </c:pt>
                <c:pt idx="12">
                  <c:v>4.0000000000000002E-4</c:v>
                </c:pt>
                <c:pt idx="13">
                  <c:v>5.9999999999999995E-4</c:v>
                </c:pt>
                <c:pt idx="14">
                  <c:v>2.9999999999999997E-4</c:v>
                </c:pt>
              </c:numCache>
            </c:numRef>
          </c:val>
        </c:ser>
        <c:axId val="100951168"/>
        <c:axId val="100952704"/>
      </c:barChart>
      <c:catAx>
        <c:axId val="100951168"/>
        <c:scaling>
          <c:orientation val="minMax"/>
        </c:scaling>
        <c:axPos val="b"/>
        <c:tickLblPos val="nextTo"/>
        <c:crossAx val="100952704"/>
        <c:crosses val="autoZero"/>
        <c:auto val="1"/>
        <c:lblAlgn val="ctr"/>
        <c:lblOffset val="100"/>
      </c:catAx>
      <c:valAx>
        <c:axId val="100952704"/>
        <c:scaling>
          <c:orientation val="minMax"/>
        </c:scaling>
        <c:axPos val="l"/>
        <c:majorGridlines/>
        <c:numFmt formatCode="General" sourceLinked="1"/>
        <c:tickLblPos val="nextTo"/>
        <c:crossAx val="1009511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Sheet1!$C$3</c:f>
              <c:strCache>
                <c:ptCount val="1"/>
              </c:strCache>
            </c:strRef>
          </c:tx>
          <c:val>
            <c:numRef>
              <c:f>Sheet1!$C$4:$C$18</c:f>
              <c:numCache>
                <c:formatCode>General</c:formatCode>
                <c:ptCount val="15"/>
              </c:numCache>
            </c:numRef>
          </c:val>
        </c:ser>
        <c:axId val="118165888"/>
        <c:axId val="118167808"/>
      </c:barChart>
      <c:catAx>
        <c:axId val="118165888"/>
        <c:scaling>
          <c:orientation val="minMax"/>
        </c:scaling>
        <c:axPos val="b"/>
        <c:tickLblPos val="nextTo"/>
        <c:crossAx val="118167808"/>
        <c:crosses val="autoZero"/>
        <c:auto val="1"/>
        <c:lblAlgn val="ctr"/>
        <c:lblOffset val="100"/>
      </c:catAx>
      <c:valAx>
        <c:axId val="118167808"/>
        <c:scaling>
          <c:orientation val="minMax"/>
        </c:scaling>
        <c:axPos val="l"/>
        <c:majorGridlines/>
        <c:numFmt formatCode="General" sourceLinked="1"/>
        <c:tickLblPos val="nextTo"/>
        <c:crossAx val="1181658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chart>
    <c:title>
      <c:tx>
        <c:rich>
          <a:bodyPr/>
          <a:lstStyle/>
          <a:p>
            <a:pPr>
              <a:defRPr/>
            </a:pPr>
            <a:r>
              <a:rPr lang="en-US" altLang="zh-CN"/>
              <a:t>Comparison</a:t>
            </a:r>
            <a:r>
              <a:rPr lang="en-US" altLang="zh-CN" baseline="0"/>
              <a:t> of slopes of V</a:t>
            </a:r>
            <a:r>
              <a:rPr lang="en-US" altLang="zh-CN" baseline="-25000"/>
              <a:t>B</a:t>
            </a:r>
            <a:r>
              <a:rPr lang="en-US" altLang="zh-CN" baseline="0"/>
              <a:t> average</a:t>
            </a:r>
            <a:endParaRPr lang="zh-CN" altLang="en-US"/>
          </a:p>
        </c:rich>
      </c:tx>
      <c:layout>
        <c:manualLayout>
          <c:xMode val="edge"/>
          <c:yMode val="edge"/>
          <c:x val="0.16817718009967858"/>
          <c:y val="3.0476190476190514E-2"/>
        </c:manualLayout>
      </c:layout>
      <c:overlay val="1"/>
    </c:title>
    <c:plotArea>
      <c:layout>
        <c:manualLayout>
          <c:layoutTarget val="inner"/>
          <c:xMode val="edge"/>
          <c:yMode val="edge"/>
          <c:x val="0.19887856714539895"/>
          <c:y val="0.15454878140232511"/>
          <c:w val="0.7435571677135866"/>
          <c:h val="0.46371463983668731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tx2">
                <a:lumMod val="75000"/>
              </a:schemeClr>
            </a:solidFill>
          </c:spPr>
          <c:errBars>
            <c:errBarType val="both"/>
            <c:errValType val="cust"/>
            <c:noEndCap val="1"/>
            <c:plus>
              <c:numRef>
                <c:f>Sheet1!$G$17:$G$24</c:f>
                <c:numCache>
                  <c:formatCode>General</c:formatCode>
                  <c:ptCount val="8"/>
                  <c:pt idx="0">
                    <c:v>9.9999999999999991E-5</c:v>
                  </c:pt>
                  <c:pt idx="1">
                    <c:v>9.9999999999999937E-5</c:v>
                  </c:pt>
                  <c:pt idx="2">
                    <c:v>5.0000000000000023E-5</c:v>
                  </c:pt>
                  <c:pt idx="3">
                    <c:v>5.0000000000000023E-5</c:v>
                  </c:pt>
                  <c:pt idx="4">
                    <c:v>2.0000000000000009E-4</c:v>
                  </c:pt>
                  <c:pt idx="5">
                    <c:v>1.4999999999999996E-4</c:v>
                  </c:pt>
                  <c:pt idx="6">
                    <c:v>9.9999999999999937E-5</c:v>
                  </c:pt>
                  <c:pt idx="7">
                    <c:v>0</c:v>
                  </c:pt>
                </c:numCache>
              </c:numRef>
            </c:plus>
            <c:minus>
              <c:numRef>
                <c:f>Sheet1!$G$29:$G$36</c:f>
                <c:numCache>
                  <c:formatCode>General</c:formatCode>
                  <c:ptCount val="8"/>
                  <c:pt idx="0">
                    <c:v>1.0000000000000005E-4</c:v>
                  </c:pt>
                  <c:pt idx="1">
                    <c:v>9.9999999999999991E-5</c:v>
                  </c:pt>
                  <c:pt idx="2">
                    <c:v>4.9999999999999914E-5</c:v>
                  </c:pt>
                  <c:pt idx="3">
                    <c:v>5.0000000000000023E-5</c:v>
                  </c:pt>
                  <c:pt idx="4">
                    <c:v>1.9999999999999993E-4</c:v>
                  </c:pt>
                  <c:pt idx="5">
                    <c:v>1.4999999999999996E-4</c:v>
                  </c:pt>
                  <c:pt idx="6">
                    <c:v>9.9999999999999991E-5</c:v>
                  </c:pt>
                  <c:pt idx="7">
                    <c:v>0</c:v>
                  </c:pt>
                </c:numCache>
              </c:numRef>
            </c:minus>
            <c:spPr>
              <a:ln w="101600" cap="sq">
                <a:solidFill>
                  <a:srgbClr val="4F81BD">
                    <a:lumMod val="60000"/>
                    <a:lumOff val="40000"/>
                    <a:alpha val="43000"/>
                  </a:srgbClr>
                </a:solidFill>
              </a:ln>
              <a:effectLst/>
            </c:spPr>
          </c:errBars>
          <c:cat>
            <c:strRef>
              <c:f>Sheet1!$E$4:$E$11</c:f>
              <c:strCache>
                <c:ptCount val="8"/>
                <c:pt idx="0">
                  <c:v>reference</c:v>
                </c:pt>
                <c:pt idx="1">
                  <c:v>abrasive blasting</c:v>
                </c:pt>
                <c:pt idx="2">
                  <c:v>abrasive flow machining</c:v>
                </c:pt>
                <c:pt idx="3">
                  <c:v>honing</c:v>
                </c:pt>
                <c:pt idx="4">
                  <c:v>brushing</c:v>
                </c:pt>
                <c:pt idx="5">
                  <c:v>laser machining</c:v>
                </c:pt>
                <c:pt idx="6">
                  <c:v>magneto-abrasive machining</c:v>
                </c:pt>
                <c:pt idx="7">
                  <c:v>dragging</c:v>
                </c:pt>
              </c:strCache>
            </c:strRef>
          </c:cat>
          <c:val>
            <c:numRef>
              <c:f>Sheet1!$F$4:$F$11</c:f>
              <c:numCache>
                <c:formatCode>General</c:formatCode>
                <c:ptCount val="8"/>
                <c:pt idx="0">
                  <c:v>4.0000000000000002E-4</c:v>
                </c:pt>
                <c:pt idx="1">
                  <c:v>5.0000000000000001E-4</c:v>
                </c:pt>
                <c:pt idx="2">
                  <c:v>5.4999999999999992E-4</c:v>
                </c:pt>
                <c:pt idx="3">
                  <c:v>3.5E-4</c:v>
                </c:pt>
                <c:pt idx="4">
                  <c:v>5.9999999999999995E-4</c:v>
                </c:pt>
                <c:pt idx="5">
                  <c:v>1.0499999999999999E-3</c:v>
                </c:pt>
                <c:pt idx="6">
                  <c:v>5.0000000000000001E-4</c:v>
                </c:pt>
                <c:pt idx="7">
                  <c:v>2.9999999999999997E-4</c:v>
                </c:pt>
              </c:numCache>
            </c:numRef>
          </c:val>
        </c:ser>
        <c:axId val="112583808"/>
        <c:axId val="112585344"/>
      </c:barChart>
      <c:catAx>
        <c:axId val="112583808"/>
        <c:scaling>
          <c:orientation val="minMax"/>
        </c:scaling>
        <c:axPos val="b"/>
        <c:tickLblPos val="nextTo"/>
        <c:crossAx val="112585344"/>
        <c:crosses val="autoZero"/>
        <c:auto val="1"/>
        <c:lblAlgn val="ctr"/>
        <c:lblOffset val="100"/>
      </c:catAx>
      <c:valAx>
        <c:axId val="11258534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 b="0">
                    <a:latin typeface="Arial Unicode MS" pitchFamily="34" charset="-122"/>
                    <a:ea typeface="Arial Unicode MS" pitchFamily="34" charset="-122"/>
                    <a:cs typeface="Arial Unicode MS" pitchFamily="34" charset="-122"/>
                  </a:defRPr>
                </a:pPr>
                <a:r>
                  <a:rPr lang="en-US" altLang="zh-CN" sz="1200" b="0">
                    <a:latin typeface="+mn-lt"/>
                    <a:ea typeface="Arial Unicode MS" pitchFamily="34" charset="-122"/>
                    <a:cs typeface="Arial Unicode MS" pitchFamily="34" charset="-122"/>
                  </a:rPr>
                  <a:t>slope</a:t>
                </a:r>
                <a:endParaRPr lang="zh-CN" altLang="en-US" sz="1200" b="0">
                  <a:latin typeface="+mn-lt"/>
                  <a:ea typeface="Arial Unicode MS" pitchFamily="34" charset="-122"/>
                  <a:cs typeface="Arial Unicode MS" pitchFamily="34" charset="-122"/>
                </a:endParaRPr>
              </a:p>
            </c:rich>
          </c:tx>
          <c:layout>
            <c:manualLayout>
              <c:xMode val="edge"/>
              <c:yMode val="edge"/>
              <c:x val="3.4444346142125527E-2"/>
              <c:y val="0.32122504686914138"/>
            </c:manualLayout>
          </c:layout>
        </c:title>
        <c:numFmt formatCode="General" sourceLinked="1"/>
        <c:tickLblPos val="nextTo"/>
        <c:crossAx val="112583808"/>
        <c:crosses val="autoZero"/>
        <c:crossBetween val="between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6</xdr:row>
      <xdr:rowOff>142875</xdr:rowOff>
    </xdr:from>
    <xdr:to>
      <xdr:col>14</xdr:col>
      <xdr:colOff>352425</xdr:colOff>
      <xdr:row>18</xdr:row>
      <xdr:rowOff>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6</xdr:row>
      <xdr:rowOff>152400</xdr:rowOff>
    </xdr:from>
    <xdr:to>
      <xdr:col>14</xdr:col>
      <xdr:colOff>352425</xdr:colOff>
      <xdr:row>18</xdr:row>
      <xdr:rowOff>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123825</xdr:colOff>
      <xdr:row>0</xdr:row>
      <xdr:rowOff>95250</xdr:rowOff>
    </xdr:from>
    <xdr:to>
      <xdr:col>14</xdr:col>
      <xdr:colOff>409575</xdr:colOff>
      <xdr:row>20</xdr:row>
      <xdr:rowOff>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0.20412</cdr:x>
      <cdr:y>0.37467</cdr:y>
    </cdr:from>
    <cdr:to>
      <cdr:x>0.31648</cdr:x>
      <cdr:y>0.44039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38210" y="1263337"/>
          <a:ext cx="571502" cy="2215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>
              <a:solidFill>
                <a:srgbClr val="FF0000"/>
              </a:solidFill>
            </a:rPr>
            <a:t>max</a:t>
          </a:r>
          <a:endParaRPr lang="zh-CN" altLang="en-US" sz="11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0.20412</cdr:x>
      <cdr:y>0.51396</cdr:y>
    </cdr:from>
    <cdr:to>
      <cdr:x>0.31648</cdr:x>
      <cdr:y>0.57968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038233" y="1732991"/>
          <a:ext cx="571503" cy="2215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zh-CN" sz="1100">
              <a:solidFill>
                <a:srgbClr val="FF0000"/>
              </a:solidFill>
            </a:rPr>
            <a:t>min</a:t>
          </a:r>
          <a:endParaRPr lang="zh-CN" altLang="en-US" sz="1100">
            <a:solidFill>
              <a:srgbClr val="FF0000"/>
            </a:solidFill>
          </a:endParaRPr>
        </a:p>
      </cdr:txBody>
    </cdr:sp>
  </cdr:relSizeAnchor>
  <cdr:relSizeAnchor xmlns:cdr="http://schemas.openxmlformats.org/drawingml/2006/chartDrawing">
    <cdr:from>
      <cdr:x>0.3015</cdr:x>
      <cdr:y>0.37143</cdr:y>
    </cdr:from>
    <cdr:to>
      <cdr:x>0.38015</cdr:x>
      <cdr:y>0.64857</cdr:y>
    </cdr:to>
    <cdr:sp macro="" textlink="">
      <cdr:nvSpPr>
        <cdr:cNvPr id="4" name="矩形 3"/>
        <cdr:cNvSpPr/>
      </cdr:nvSpPr>
      <cdr:spPr>
        <a:xfrm xmlns:a="http://schemas.openxmlformats.org/drawingml/2006/main">
          <a:off x="1533525" y="1238250"/>
          <a:ext cx="400050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>
          <a:solidFill>
            <a:srgbClr val="92D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0.39326</cdr:x>
      <cdr:y>0.35714</cdr:y>
    </cdr:from>
    <cdr:to>
      <cdr:x>0.47378</cdr:x>
      <cdr:y>0.65143</cdr:y>
    </cdr:to>
    <cdr:sp macro="" textlink="">
      <cdr:nvSpPr>
        <cdr:cNvPr id="5" name="矩形 4"/>
        <cdr:cNvSpPr/>
      </cdr:nvSpPr>
      <cdr:spPr>
        <a:xfrm xmlns:a="http://schemas.openxmlformats.org/drawingml/2006/main">
          <a:off x="2000249" y="1190625"/>
          <a:ext cx="409575" cy="981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>
          <a:solidFill>
            <a:srgbClr val="92D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0.58052</cdr:x>
      <cdr:y>0.31356</cdr:y>
    </cdr:from>
    <cdr:to>
      <cdr:x>0.65918</cdr:x>
      <cdr:y>0.64857</cdr:y>
    </cdr:to>
    <cdr:sp macro="" textlink="">
      <cdr:nvSpPr>
        <cdr:cNvPr id="6" name="矩形 5"/>
        <cdr:cNvSpPr/>
      </cdr:nvSpPr>
      <cdr:spPr>
        <a:xfrm xmlns:a="http://schemas.openxmlformats.org/drawingml/2006/main">
          <a:off x="2952750" y="1057276"/>
          <a:ext cx="400070" cy="11296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>
          <a:solidFill>
            <a:srgbClr val="92D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0.67041</cdr:x>
      <cdr:y>0.18857</cdr:y>
    </cdr:from>
    <cdr:to>
      <cdr:x>0.75094</cdr:x>
      <cdr:y>0.64857</cdr:y>
    </cdr:to>
    <cdr:sp macro="" textlink="">
      <cdr:nvSpPr>
        <cdr:cNvPr id="7" name="矩形 6"/>
        <cdr:cNvSpPr/>
      </cdr:nvSpPr>
      <cdr:spPr>
        <a:xfrm xmlns:a="http://schemas.openxmlformats.org/drawingml/2006/main">
          <a:off x="3409950" y="628650"/>
          <a:ext cx="409575" cy="15335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92D05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0.37266</cdr:x>
      <cdr:y>0.15714</cdr:y>
    </cdr:from>
    <cdr:to>
      <cdr:x>0.57865</cdr:x>
      <cdr:y>0.27429</cdr:y>
    </cdr:to>
    <cdr:sp macro="" textlink="">
      <cdr:nvSpPr>
        <cdr:cNvPr id="8" name="TextBox 7"/>
        <cdr:cNvSpPr txBox="1"/>
      </cdr:nvSpPr>
      <cdr:spPr>
        <a:xfrm xmlns:a="http://schemas.openxmlformats.org/drawingml/2006/main">
          <a:off x="1895475" y="523875"/>
          <a:ext cx="1047750" cy="39052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200" b="1">
              <a:solidFill>
                <a:schemeClr val="accent3">
                  <a:lumMod val="60000"/>
                  <a:lumOff val="40000"/>
                </a:schemeClr>
              </a:solidFill>
            </a:rPr>
            <a:t>2nd</a:t>
          </a:r>
          <a:r>
            <a:rPr lang="en-US" altLang="zh-CN" sz="1200" b="1" baseline="0">
              <a:solidFill>
                <a:schemeClr val="accent3">
                  <a:lumMod val="60000"/>
                  <a:lumOff val="40000"/>
                </a:schemeClr>
              </a:solidFill>
            </a:rPr>
            <a:t> group</a:t>
          </a:r>
          <a:endParaRPr lang="zh-CN" altLang="en-US" sz="1200" b="1">
            <a:solidFill>
              <a:schemeClr val="accent3">
                <a:lumMod val="60000"/>
                <a:lumOff val="4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0.3427</cdr:x>
      <cdr:y>0.23714</cdr:y>
    </cdr:from>
    <cdr:to>
      <cdr:x>0.41573</cdr:x>
      <cdr:y>0.37143</cdr:y>
    </cdr:to>
    <cdr:sp macro="" textlink="">
      <cdr:nvSpPr>
        <cdr:cNvPr id="10" name="直接箭头连接符 9"/>
        <cdr:cNvSpPr/>
      </cdr:nvSpPr>
      <cdr:spPr>
        <a:xfrm xmlns:a="http://schemas.openxmlformats.org/drawingml/2006/main" flipH="1">
          <a:off x="1743074" y="790575"/>
          <a:ext cx="371475" cy="447675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92D050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0.41386</cdr:x>
      <cdr:y>0.24286</cdr:y>
    </cdr:from>
    <cdr:to>
      <cdr:x>0.4176</cdr:x>
      <cdr:y>0.35714</cdr:y>
    </cdr:to>
    <cdr:sp macro="" textlink="">
      <cdr:nvSpPr>
        <cdr:cNvPr id="12" name="直接箭头连接符 11"/>
        <cdr:cNvSpPr/>
      </cdr:nvSpPr>
      <cdr:spPr>
        <a:xfrm xmlns:a="http://schemas.openxmlformats.org/drawingml/2006/main">
          <a:off x="2105025" y="809625"/>
          <a:ext cx="19050" cy="381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92D050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0.41573</cdr:x>
      <cdr:y>0.23714</cdr:y>
    </cdr:from>
    <cdr:to>
      <cdr:x>0.59925</cdr:x>
      <cdr:y>0.30508</cdr:y>
    </cdr:to>
    <cdr:sp macro="" textlink="">
      <cdr:nvSpPr>
        <cdr:cNvPr id="14" name="直接箭头连接符 13"/>
        <cdr:cNvSpPr/>
      </cdr:nvSpPr>
      <cdr:spPr>
        <a:xfrm xmlns:a="http://schemas.openxmlformats.org/drawingml/2006/main">
          <a:off x="2114548" y="799601"/>
          <a:ext cx="933452" cy="229099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92D050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0.4176</cdr:x>
      <cdr:y>0.23429</cdr:y>
    </cdr:from>
    <cdr:to>
      <cdr:x>0.67228</cdr:x>
      <cdr:y>0.24</cdr:y>
    </cdr:to>
    <cdr:sp macro="" textlink="">
      <cdr:nvSpPr>
        <cdr:cNvPr id="16" name="直接箭头连接符 15"/>
        <cdr:cNvSpPr/>
      </cdr:nvSpPr>
      <cdr:spPr>
        <a:xfrm xmlns:a="http://schemas.openxmlformats.org/drawingml/2006/main">
          <a:off x="2124075" y="781050"/>
          <a:ext cx="1295400" cy="1905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92D050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/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36"/>
  <sheetViews>
    <sheetView tabSelected="1" workbookViewId="0">
      <selection activeCell="G5" sqref="G5"/>
    </sheetView>
  </sheetViews>
  <sheetFormatPr baseColWidth="10" defaultColWidth="9.140625" defaultRowHeight="15"/>
  <cols>
    <col min="1" max="1" width="9.42578125" bestFit="1" customWidth="1"/>
    <col min="3" max="3" width="4" customWidth="1"/>
    <col min="5" max="5" width="26" style="2" customWidth="1"/>
    <col min="6" max="6" width="15.28515625" customWidth="1"/>
    <col min="7" max="7" width="24.28515625" customWidth="1"/>
  </cols>
  <sheetData>
    <row r="2" spans="1:7">
      <c r="A2" s="15" t="s">
        <v>40</v>
      </c>
      <c r="B2" s="15"/>
      <c r="D2" s="15" t="s">
        <v>40</v>
      </c>
      <c r="E2" s="15"/>
      <c r="F2" s="15"/>
    </row>
    <row r="3" spans="1:7" ht="18">
      <c r="A3" s="8"/>
      <c r="B3" s="9" t="s">
        <v>22</v>
      </c>
      <c r="D3" s="9" t="s">
        <v>35</v>
      </c>
      <c r="E3" s="11" t="s">
        <v>23</v>
      </c>
      <c r="F3" s="9" t="s">
        <v>24</v>
      </c>
    </row>
    <row r="4" spans="1:7">
      <c r="A4" s="6" t="s">
        <v>26</v>
      </c>
      <c r="B4" s="5">
        <v>5.0000000000000001E-4</v>
      </c>
      <c r="D4" s="6" t="s">
        <v>27</v>
      </c>
      <c r="E4" s="12" t="s">
        <v>25</v>
      </c>
      <c r="F4" s="5">
        <v>4.0000000000000002E-4</v>
      </c>
    </row>
    <row r="5" spans="1:7">
      <c r="A5" s="6" t="s">
        <v>0</v>
      </c>
      <c r="B5" s="5">
        <v>2.9999999999999997E-4</v>
      </c>
      <c r="D5" s="6" t="s">
        <v>28</v>
      </c>
      <c r="E5" s="12" t="s">
        <v>19</v>
      </c>
      <c r="F5" s="5">
        <v>5.0000000000000001E-4</v>
      </c>
    </row>
    <row r="6" spans="1:7">
      <c r="A6" s="6" t="s">
        <v>1</v>
      </c>
      <c r="B6" s="5">
        <v>5.9999999999999995E-4</v>
      </c>
      <c r="D6" s="6" t="s">
        <v>29</v>
      </c>
      <c r="E6" s="12" t="s">
        <v>14</v>
      </c>
      <c r="F6" s="5">
        <f>AVERAGE(B8:B9)</f>
        <v>5.4999999999999992E-4</v>
      </c>
    </row>
    <row r="7" spans="1:7">
      <c r="A7" s="6" t="s">
        <v>2</v>
      </c>
      <c r="B7" s="7">
        <v>4.0000000000000002E-4</v>
      </c>
      <c r="D7" s="6" t="s">
        <v>30</v>
      </c>
      <c r="E7" s="12" t="s">
        <v>15</v>
      </c>
      <c r="F7" s="5">
        <v>3.5E-4</v>
      </c>
    </row>
    <row r="8" spans="1:7">
      <c r="A8" s="6" t="s">
        <v>4</v>
      </c>
      <c r="B8" s="5">
        <v>5.0000000000000001E-4</v>
      </c>
      <c r="D8" s="6" t="s">
        <v>31</v>
      </c>
      <c r="E8" s="12" t="s">
        <v>20</v>
      </c>
      <c r="F8" s="5">
        <v>5.9999999999999995E-4</v>
      </c>
    </row>
    <row r="9" spans="1:7">
      <c r="A9" s="6" t="s">
        <v>3</v>
      </c>
      <c r="B9" s="7">
        <v>5.9999999999999995E-4</v>
      </c>
      <c r="D9" s="6" t="s">
        <v>32</v>
      </c>
      <c r="E9" s="12" t="s">
        <v>16</v>
      </c>
      <c r="F9" s="5">
        <f>AVERAGE(B14:B15)</f>
        <v>1.0499999999999999E-3</v>
      </c>
    </row>
    <row r="10" spans="1:7">
      <c r="A10" s="6" t="s">
        <v>5</v>
      </c>
      <c r="B10" s="7">
        <v>4.0000000000000002E-4</v>
      </c>
      <c r="D10" s="6" t="s">
        <v>33</v>
      </c>
      <c r="E10" s="12" t="s">
        <v>21</v>
      </c>
      <c r="F10" s="5">
        <v>5.0000000000000001E-4</v>
      </c>
    </row>
    <row r="11" spans="1:7">
      <c r="A11" s="6" t="s">
        <v>6</v>
      </c>
      <c r="B11" s="7">
        <v>2.9999999999999997E-4</v>
      </c>
      <c r="D11" s="6" t="s">
        <v>34</v>
      </c>
      <c r="E11" s="12" t="s">
        <v>17</v>
      </c>
      <c r="F11" s="5">
        <v>2.9999999999999997E-4</v>
      </c>
    </row>
    <row r="12" spans="1:7">
      <c r="A12" s="6" t="s">
        <v>10</v>
      </c>
      <c r="B12" s="7">
        <v>4.0000000000000002E-4</v>
      </c>
      <c r="E12" s="3"/>
    </row>
    <row r="13" spans="1:7">
      <c r="A13" s="6" t="s">
        <v>11</v>
      </c>
      <c r="B13" s="7">
        <v>8.0000000000000004E-4</v>
      </c>
      <c r="E13" s="3"/>
    </row>
    <row r="14" spans="1:7">
      <c r="A14" s="6" t="s">
        <v>12</v>
      </c>
      <c r="B14" s="5">
        <v>1.1999999999999999E-3</v>
      </c>
    </row>
    <row r="15" spans="1:7">
      <c r="A15" s="6" t="s">
        <v>13</v>
      </c>
      <c r="B15" s="7">
        <v>8.9999999999999998E-4</v>
      </c>
      <c r="D15" s="15" t="s">
        <v>40</v>
      </c>
      <c r="E15" s="15"/>
      <c r="F15" s="15"/>
      <c r="G15" s="15"/>
    </row>
    <row r="16" spans="1:7">
      <c r="A16" s="6" t="s">
        <v>8</v>
      </c>
      <c r="B16" s="7">
        <v>4.0000000000000002E-4</v>
      </c>
      <c r="D16" s="9" t="s">
        <v>35</v>
      </c>
      <c r="E16" s="11" t="s">
        <v>36</v>
      </c>
      <c r="F16" s="9" t="s">
        <v>37</v>
      </c>
      <c r="G16" s="9" t="s">
        <v>38</v>
      </c>
    </row>
    <row r="17" spans="1:7">
      <c r="A17" s="6" t="s">
        <v>9</v>
      </c>
      <c r="B17" s="7">
        <v>5.9999999999999995E-4</v>
      </c>
      <c r="D17" s="6" t="s">
        <v>27</v>
      </c>
      <c r="E17" s="12" t="s">
        <v>18</v>
      </c>
      <c r="F17" s="5">
        <v>5.0000000000000001E-4</v>
      </c>
      <c r="G17" s="13">
        <f>F17-F4</f>
        <v>9.9999999999999991E-5</v>
      </c>
    </row>
    <row r="18" spans="1:7">
      <c r="A18" s="6" t="s">
        <v>7</v>
      </c>
      <c r="B18" s="7">
        <v>2.9999999999999997E-4</v>
      </c>
      <c r="D18" s="6" t="s">
        <v>28</v>
      </c>
      <c r="E18" s="12" t="s">
        <v>19</v>
      </c>
      <c r="F18" s="5">
        <v>5.9999999999999995E-4</v>
      </c>
      <c r="G18" s="13">
        <f t="shared" ref="G18:G24" si="0">F18-F5</f>
        <v>9.9999999999999937E-5</v>
      </c>
    </row>
    <row r="19" spans="1:7">
      <c r="A19" s="1"/>
      <c r="B19" s="1"/>
      <c r="C19" s="1"/>
      <c r="D19" s="6" t="s">
        <v>29</v>
      </c>
      <c r="E19" s="12" t="s">
        <v>14</v>
      </c>
      <c r="F19" s="7">
        <v>5.9999999999999995E-4</v>
      </c>
      <c r="G19" s="13">
        <f t="shared" si="0"/>
        <v>5.0000000000000023E-5</v>
      </c>
    </row>
    <row r="20" spans="1:7">
      <c r="A20" s="1"/>
      <c r="B20" s="1"/>
      <c r="C20" s="1"/>
      <c r="D20" s="6" t="s">
        <v>30</v>
      </c>
      <c r="E20" s="12" t="s">
        <v>15</v>
      </c>
      <c r="F20" s="7">
        <v>4.0000000000000002E-4</v>
      </c>
      <c r="G20" s="13">
        <f t="shared" si="0"/>
        <v>5.0000000000000023E-5</v>
      </c>
    </row>
    <row r="21" spans="1:7">
      <c r="D21" s="6" t="s">
        <v>31</v>
      </c>
      <c r="E21" s="12" t="s">
        <v>20</v>
      </c>
      <c r="F21" s="7">
        <v>8.0000000000000004E-4</v>
      </c>
      <c r="G21" s="13">
        <f t="shared" si="0"/>
        <v>2.0000000000000009E-4</v>
      </c>
    </row>
    <row r="22" spans="1:7">
      <c r="D22" s="6" t="s">
        <v>32</v>
      </c>
      <c r="E22" s="12" t="s">
        <v>16</v>
      </c>
      <c r="F22" s="5">
        <v>1.1999999999999999E-3</v>
      </c>
      <c r="G22" s="13">
        <f t="shared" si="0"/>
        <v>1.4999999999999996E-4</v>
      </c>
    </row>
    <row r="23" spans="1:7">
      <c r="D23" s="6" t="s">
        <v>33</v>
      </c>
      <c r="E23" s="12" t="s">
        <v>21</v>
      </c>
      <c r="F23" s="7">
        <v>5.9999999999999995E-4</v>
      </c>
      <c r="G23" s="13">
        <f t="shared" si="0"/>
        <v>9.9999999999999937E-5</v>
      </c>
    </row>
    <row r="24" spans="1:7">
      <c r="D24" s="6" t="s">
        <v>34</v>
      </c>
      <c r="E24" s="12" t="s">
        <v>17</v>
      </c>
      <c r="F24" s="7">
        <v>2.9999999999999997E-4</v>
      </c>
      <c r="G24" s="13">
        <f t="shared" si="0"/>
        <v>0</v>
      </c>
    </row>
    <row r="27" spans="1:7">
      <c r="D27" s="15" t="s">
        <v>40</v>
      </c>
      <c r="E27" s="15"/>
      <c r="F27" s="15"/>
      <c r="G27" s="15"/>
    </row>
    <row r="28" spans="1:7">
      <c r="D28" s="9" t="s">
        <v>35</v>
      </c>
      <c r="E28" s="11" t="s">
        <v>36</v>
      </c>
      <c r="F28" s="9" t="s">
        <v>37</v>
      </c>
      <c r="G28" s="9" t="s">
        <v>39</v>
      </c>
    </row>
    <row r="29" spans="1:7">
      <c r="D29" s="4"/>
      <c r="E29" s="10" t="s">
        <v>18</v>
      </c>
      <c r="F29" s="5">
        <v>2.9999999999999997E-4</v>
      </c>
      <c r="G29" s="14">
        <f>F4-F29</f>
        <v>1.0000000000000005E-4</v>
      </c>
    </row>
    <row r="30" spans="1:7">
      <c r="D30" s="4"/>
      <c r="E30" s="10" t="s">
        <v>19</v>
      </c>
      <c r="F30" s="7">
        <v>4.0000000000000002E-4</v>
      </c>
      <c r="G30" s="14">
        <f t="shared" ref="G30:G36" si="1">F5-F30</f>
        <v>9.9999999999999991E-5</v>
      </c>
    </row>
    <row r="31" spans="1:7">
      <c r="D31" s="4"/>
      <c r="E31" s="10" t="s">
        <v>14</v>
      </c>
      <c r="F31" s="5">
        <v>5.0000000000000001E-4</v>
      </c>
      <c r="G31" s="14">
        <f t="shared" si="1"/>
        <v>4.9999999999999914E-5</v>
      </c>
    </row>
    <row r="32" spans="1:7">
      <c r="D32" s="4"/>
      <c r="E32" s="10" t="s">
        <v>15</v>
      </c>
      <c r="F32" s="7">
        <v>2.9999999999999997E-4</v>
      </c>
      <c r="G32" s="14">
        <f t="shared" si="1"/>
        <v>5.0000000000000023E-5</v>
      </c>
    </row>
    <row r="33" spans="4:7">
      <c r="D33" s="4"/>
      <c r="E33" s="10" t="s">
        <v>20</v>
      </c>
      <c r="F33" s="7">
        <v>4.0000000000000002E-4</v>
      </c>
      <c r="G33" s="14">
        <f t="shared" si="1"/>
        <v>1.9999999999999993E-4</v>
      </c>
    </row>
    <row r="34" spans="4:7">
      <c r="D34" s="4"/>
      <c r="E34" s="10" t="s">
        <v>16</v>
      </c>
      <c r="F34" s="7">
        <v>8.9999999999999998E-4</v>
      </c>
      <c r="G34" s="14">
        <f t="shared" si="1"/>
        <v>1.4999999999999996E-4</v>
      </c>
    </row>
    <row r="35" spans="4:7">
      <c r="D35" s="4"/>
      <c r="E35" s="10" t="s">
        <v>21</v>
      </c>
      <c r="F35" s="7">
        <v>4.0000000000000002E-4</v>
      </c>
      <c r="G35" s="14">
        <f t="shared" si="1"/>
        <v>9.9999999999999991E-5</v>
      </c>
    </row>
    <row r="36" spans="4:7">
      <c r="D36" s="4"/>
      <c r="E36" s="10" t="s">
        <v>17</v>
      </c>
      <c r="F36" s="7">
        <v>2.9999999999999997E-4</v>
      </c>
      <c r="G36" s="14">
        <f t="shared" si="1"/>
        <v>0</v>
      </c>
    </row>
  </sheetData>
  <mergeCells count="4">
    <mergeCell ref="A2:B2"/>
    <mergeCell ref="D2:F2"/>
    <mergeCell ref="D15:G15"/>
    <mergeCell ref="D27:G27"/>
  </mergeCells>
  <phoneticPr fontId="2" type="noConversion"/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2012-05-15T12:50:43Z</dcterms:modified>
</cp:coreProperties>
</file>