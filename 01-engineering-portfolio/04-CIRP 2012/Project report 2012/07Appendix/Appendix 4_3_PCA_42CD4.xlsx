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drawings/drawing8.xml" ContentType="application/vnd.openxmlformats-officedocument.drawingml.chartshap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17.xml" ContentType="application/vnd.openxmlformats-officedocument.drawingml.chartshapes+xml"/>
  <Override PartName="/xl/drawings/drawing18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15.xml" ContentType="application/vnd.openxmlformats-officedocument.drawingml.chartshapes+xml"/>
  <Override PartName="/xl/drawings/drawing16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ml.chartsha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9780" yWindow="-15" windowWidth="9825" windowHeight="8700" tabRatio="682" activeTab="4"/>
  </bookViews>
  <sheets>
    <sheet name="résultats" sheetId="1" r:id="rId1"/>
    <sheet name="reduite" sheetId="16" r:id="rId2"/>
    <sheet name="corr_matrix" sheetId="14" r:id="rId3"/>
    <sheet name="vbmax" sheetId="10" r:id="rId4"/>
    <sheet name="courbes_vb_cp" sheetId="13" r:id="rId5"/>
    <sheet name="forces" sheetId="15" r:id="rId6"/>
    <sheet name="angles" sheetId="17" r:id="rId7"/>
  </sheets>
  <calcPr calcId="125725"/>
</workbook>
</file>

<file path=xl/calcChain.xml><?xml version="1.0" encoding="utf-8"?>
<calcChain xmlns="http://schemas.openxmlformats.org/spreadsheetml/2006/main">
  <c r="N4" i="10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3"/>
  <c r="I4"/>
  <c r="I5"/>
  <c r="I6"/>
  <c r="I7"/>
  <c r="I8"/>
  <c r="I9"/>
  <c r="I10"/>
  <c r="I11"/>
  <c r="I12"/>
  <c r="I13"/>
  <c r="I14"/>
  <c r="I15"/>
  <c r="I16"/>
  <c r="I17"/>
  <c r="I18"/>
  <c r="I3"/>
  <c r="D4"/>
  <c r="D5"/>
  <c r="D6"/>
  <c r="D7"/>
  <c r="D8"/>
  <c r="D9"/>
  <c r="D10"/>
  <c r="D11"/>
  <c r="D12"/>
  <c r="D13"/>
  <c r="D14"/>
  <c r="D15"/>
  <c r="D16"/>
  <c r="D17"/>
  <c r="D3"/>
  <c r="N24"/>
  <c r="I19"/>
  <c r="D18"/>
  <c r="AC4" i="16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3"/>
  <c r="I32" i="10"/>
  <c r="I31"/>
  <c r="I30"/>
  <c r="H32"/>
  <c r="H31"/>
  <c r="H30"/>
  <c r="D38"/>
  <c r="C38"/>
  <c r="B38"/>
  <c r="F11" i="16"/>
  <c r="G11"/>
  <c r="H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F12"/>
  <c r="G12"/>
  <c r="H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F13"/>
  <c r="G13"/>
  <c r="H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F14"/>
  <c r="G14"/>
  <c r="H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F15"/>
  <c r="G15"/>
  <c r="H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F16"/>
  <c r="G16"/>
  <c r="H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F17"/>
  <c r="G17"/>
  <c r="H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F18"/>
  <c r="G18"/>
  <c r="H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F19"/>
  <c r="G19"/>
  <c r="H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F20"/>
  <c r="G20"/>
  <c r="H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F21"/>
  <c r="G21"/>
  <c r="H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F22"/>
  <c r="G22"/>
  <c r="H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F23"/>
  <c r="G23"/>
  <c r="H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F24"/>
  <c r="G24"/>
  <c r="H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F25"/>
  <c r="G25"/>
  <c r="H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F26"/>
  <c r="G26"/>
  <c r="H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F27"/>
  <c r="G27"/>
  <c r="H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F28"/>
  <c r="G28"/>
  <c r="H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F29"/>
  <c r="G29"/>
  <c r="H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F30"/>
  <c r="G30"/>
  <c r="H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F31"/>
  <c r="G31"/>
  <c r="H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F32"/>
  <c r="G32"/>
  <c r="H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F33"/>
  <c r="G33"/>
  <c r="H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F34"/>
  <c r="G34"/>
  <c r="H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F35"/>
  <c r="G35"/>
  <c r="H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F36"/>
  <c r="G36"/>
  <c r="H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F37"/>
  <c r="G37"/>
  <c r="H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F38"/>
  <c r="G38"/>
  <c r="H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F39"/>
  <c r="G39"/>
  <c r="H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F40"/>
  <c r="G40"/>
  <c r="H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F41"/>
  <c r="G41"/>
  <c r="H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F42"/>
  <c r="G42"/>
  <c r="H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F43"/>
  <c r="G43"/>
  <c r="H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F44"/>
  <c r="G44"/>
  <c r="H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F45"/>
  <c r="G45"/>
  <c r="H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F46"/>
  <c r="G46"/>
  <c r="H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F47"/>
  <c r="G47"/>
  <c r="H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F48"/>
  <c r="G48"/>
  <c r="H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F49"/>
  <c r="G49"/>
  <c r="H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F50"/>
  <c r="G50"/>
  <c r="H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F51"/>
  <c r="G51"/>
  <c r="H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F52"/>
  <c r="G52"/>
  <c r="H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F53"/>
  <c r="G53"/>
  <c r="H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F54"/>
  <c r="G54"/>
  <c r="H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F10"/>
  <c r="G10"/>
  <c r="H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E10"/>
  <c r="F9"/>
  <c r="G9"/>
  <c r="H9"/>
  <c r="J9"/>
  <c r="K9"/>
  <c r="L9"/>
  <c r="M9"/>
  <c r="N9"/>
  <c r="O9"/>
  <c r="P9"/>
  <c r="Q9"/>
  <c r="R9"/>
  <c r="S9"/>
  <c r="T9"/>
  <c r="U9"/>
  <c r="V9"/>
  <c r="W9"/>
  <c r="X9"/>
  <c r="Y9"/>
  <c r="Z9"/>
  <c r="AA9"/>
  <c r="E9"/>
  <c r="F8"/>
  <c r="G8"/>
  <c r="H8"/>
  <c r="J8"/>
  <c r="K8"/>
  <c r="L8"/>
  <c r="M8"/>
  <c r="N8"/>
  <c r="O8"/>
  <c r="P8"/>
  <c r="Q8"/>
  <c r="R8"/>
  <c r="S8"/>
  <c r="T8"/>
  <c r="U8"/>
  <c r="V8"/>
  <c r="W8"/>
  <c r="X8"/>
  <c r="Y8"/>
  <c r="Z8"/>
  <c r="AA8"/>
  <c r="E8"/>
  <c r="F7"/>
  <c r="G7"/>
  <c r="H7"/>
  <c r="J7"/>
  <c r="K7"/>
  <c r="L7"/>
  <c r="M7"/>
  <c r="N7"/>
  <c r="O7"/>
  <c r="P7"/>
  <c r="Q7"/>
  <c r="R7"/>
  <c r="S7"/>
  <c r="T7"/>
  <c r="U7"/>
  <c r="V7"/>
  <c r="W7"/>
  <c r="X7"/>
  <c r="Y7"/>
  <c r="Z7"/>
  <c r="AA7"/>
  <c r="E7"/>
  <c r="F6"/>
  <c r="G6"/>
  <c r="H6"/>
  <c r="J6"/>
  <c r="K6"/>
  <c r="L6"/>
  <c r="M6"/>
  <c r="N6"/>
  <c r="O6"/>
  <c r="P6"/>
  <c r="Q6"/>
  <c r="R6"/>
  <c r="S6"/>
  <c r="T6"/>
  <c r="U6"/>
  <c r="V6"/>
  <c r="W6"/>
  <c r="X6"/>
  <c r="Y6"/>
  <c r="Z6"/>
  <c r="AA6"/>
  <c r="E6"/>
  <c r="F5"/>
  <c r="G5"/>
  <c r="H5"/>
  <c r="J5"/>
  <c r="K5"/>
  <c r="L5"/>
  <c r="M5"/>
  <c r="N5"/>
  <c r="O5"/>
  <c r="P5"/>
  <c r="Q5"/>
  <c r="R5"/>
  <c r="S5"/>
  <c r="T5"/>
  <c r="U5"/>
  <c r="V5"/>
  <c r="W5"/>
  <c r="X5"/>
  <c r="Y5"/>
  <c r="Z5"/>
  <c r="AA5"/>
  <c r="E5"/>
  <c r="F4"/>
  <c r="G4"/>
  <c r="H4"/>
  <c r="J4"/>
  <c r="K4"/>
  <c r="L4"/>
  <c r="M4"/>
  <c r="N4"/>
  <c r="O4"/>
  <c r="P4"/>
  <c r="Q4"/>
  <c r="R4"/>
  <c r="S4"/>
  <c r="T4"/>
  <c r="U4"/>
  <c r="V4"/>
  <c r="W4"/>
  <c r="X4"/>
  <c r="Y4"/>
  <c r="Z4"/>
  <c r="AA4"/>
  <c r="E4"/>
  <c r="F3"/>
  <c r="G3"/>
  <c r="H3"/>
  <c r="J3"/>
  <c r="K3"/>
  <c r="L3"/>
  <c r="M3"/>
  <c r="N3"/>
  <c r="O3"/>
  <c r="P3"/>
  <c r="Q3"/>
  <c r="R3"/>
  <c r="S3"/>
  <c r="T3"/>
  <c r="U3"/>
  <c r="V3"/>
  <c r="W3"/>
  <c r="X3"/>
  <c r="Y3"/>
  <c r="Z3"/>
  <c r="AA3"/>
  <c r="E3"/>
  <c r="D54"/>
  <c r="D53"/>
  <c r="D52"/>
  <c r="D51"/>
  <c r="D50"/>
  <c r="D49"/>
  <c r="D48"/>
  <c r="D45"/>
  <c r="D42"/>
  <c r="D39"/>
  <c r="D36"/>
  <c r="D33"/>
  <c r="D30"/>
  <c r="D27"/>
  <c r="D24"/>
  <c r="D21"/>
  <c r="D18"/>
  <c r="D15"/>
  <c r="D12"/>
  <c r="D9"/>
  <c r="D6"/>
  <c r="F60" i="1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G59"/>
  <c r="H59"/>
  <c r="I59"/>
  <c r="I11" i="16" s="1"/>
  <c r="J59" i="1"/>
  <c r="K59"/>
  <c r="L59"/>
  <c r="M59"/>
  <c r="N59"/>
  <c r="O59"/>
  <c r="P59"/>
  <c r="Q59"/>
  <c r="R59"/>
  <c r="S59"/>
  <c r="T59"/>
  <c r="U59"/>
  <c r="V59"/>
  <c r="W59"/>
  <c r="X59"/>
  <c r="Y59"/>
  <c r="Z59"/>
  <c r="AA59"/>
  <c r="F59"/>
  <c r="E60"/>
  <c r="E59"/>
  <c r="X46"/>
  <c r="X43"/>
  <c r="X40"/>
  <c r="X37"/>
  <c r="X34"/>
  <c r="X31"/>
  <c r="X28"/>
  <c r="X25"/>
  <c r="X22"/>
  <c r="X10"/>
  <c r="X7"/>
  <c r="X8"/>
  <c r="X9"/>
  <c r="X11"/>
  <c r="X12"/>
  <c r="X13"/>
  <c r="X14"/>
  <c r="X15"/>
  <c r="X16"/>
  <c r="X17"/>
  <c r="X18"/>
  <c r="X19"/>
  <c r="X20"/>
  <c r="X21"/>
  <c r="X23"/>
  <c r="X24"/>
  <c r="X26"/>
  <c r="X27"/>
  <c r="X29"/>
  <c r="X30"/>
  <c r="X32"/>
  <c r="X33"/>
  <c r="X35"/>
  <c r="X36"/>
  <c r="X38"/>
  <c r="X39"/>
  <c r="X41"/>
  <c r="X42"/>
  <c r="X44"/>
  <c r="X45"/>
  <c r="X47"/>
  <c r="X48"/>
  <c r="X49"/>
  <c r="X50"/>
  <c r="X51"/>
  <c r="X52"/>
  <c r="X53"/>
  <c r="X54"/>
  <c r="X55"/>
  <c r="X56"/>
  <c r="X57"/>
  <c r="X58"/>
  <c r="D58"/>
  <c r="D57"/>
  <c r="D56"/>
  <c r="D55"/>
  <c r="D54"/>
  <c r="D53"/>
  <c r="D52"/>
  <c r="D49"/>
  <c r="D46"/>
  <c r="D43"/>
  <c r="D40"/>
  <c r="D37"/>
  <c r="D34"/>
  <c r="D31"/>
  <c r="D28"/>
  <c r="D25"/>
  <c r="D22"/>
  <c r="D19"/>
  <c r="D16"/>
  <c r="D13"/>
  <c r="D10"/>
  <c r="I3" i="16" l="1"/>
  <c r="I5"/>
  <c r="I7"/>
  <c r="I9"/>
  <c r="I4"/>
  <c r="I6"/>
  <c r="I8"/>
  <c r="I10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W24" i="14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X24"/>
  <c r="Y24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C22"/>
  <c r="C21"/>
  <c r="C20"/>
  <c r="C19"/>
  <c r="C25"/>
  <c r="C24"/>
  <c r="C23"/>
  <c r="C18"/>
  <c r="C17"/>
  <c r="C16"/>
  <c r="C15"/>
  <c r="C14"/>
  <c r="C13"/>
  <c r="C12"/>
  <c r="C11"/>
  <c r="C3"/>
  <c r="C10"/>
  <c r="C9"/>
  <c r="C8"/>
  <c r="C7"/>
  <c r="C6"/>
  <c r="C5"/>
  <c r="C4"/>
</calcChain>
</file>

<file path=xl/sharedStrings.xml><?xml version="1.0" encoding="utf-8"?>
<sst xmlns="http://schemas.openxmlformats.org/spreadsheetml/2006/main" count="310" uniqueCount="72">
  <si>
    <t>NC</t>
  </si>
  <si>
    <t>rev</t>
  </si>
  <si>
    <t>°</t>
  </si>
  <si>
    <t>N</t>
  </si>
  <si>
    <t>µm</t>
  </si>
  <si>
    <t>VB max</t>
  </si>
  <si>
    <t>VB av</t>
  </si>
  <si>
    <t>Trial</t>
  </si>
  <si>
    <t>Edge</t>
  </si>
  <si>
    <t>-</t>
  </si>
  <si>
    <t>ref</t>
  </si>
  <si>
    <t>N°</t>
  </si>
  <si>
    <t>Rt</t>
  </si>
  <si>
    <t>Ra</t>
  </si>
  <si>
    <t>Curve</t>
  </si>
  <si>
    <t>Fact1</t>
  </si>
  <si>
    <t>Fact2</t>
  </si>
  <si>
    <t>Fact3</t>
  </si>
  <si>
    <t>X</t>
  </si>
  <si>
    <t>σ</t>
  </si>
  <si>
    <t>Vb max</t>
  </si>
  <si>
    <t>%info</t>
  </si>
  <si>
    <t>!!Formule en valeurs réduites</t>
  </si>
  <si>
    <t>Considérant le VB av</t>
  </si>
  <si>
    <t>!Voir courbes_corr_vbmax</t>
  </si>
  <si>
    <t>AEA av</t>
  </si>
  <si>
    <t>AEA max</t>
  </si>
  <si>
    <t>Fz av</t>
  </si>
  <si>
    <t>Fz max</t>
  </si>
  <si>
    <t>N max</t>
  </si>
  <si>
    <t>N av</t>
  </si>
  <si>
    <t>P av</t>
  </si>
  <si>
    <t>P max</t>
  </si>
  <si>
    <t>η</t>
  </si>
  <si>
    <t>β</t>
  </si>
  <si>
    <t>μe</t>
  </si>
  <si>
    <r>
      <rPr>
        <b/>
        <sz val="11"/>
        <color indexed="9"/>
        <rFont val="Calibri"/>
        <family val="2"/>
      </rPr>
      <t>λ</t>
    </r>
    <r>
      <rPr>
        <b/>
        <sz val="11"/>
        <color indexed="9"/>
        <rFont val="Calibri"/>
        <family val="2"/>
      </rPr>
      <t xml:space="preserve"> av</t>
    </r>
  </si>
  <si>
    <r>
      <rPr>
        <b/>
        <sz val="11"/>
        <color indexed="9"/>
        <rFont val="Calibri"/>
        <family val="2"/>
      </rPr>
      <t>λ</t>
    </r>
    <r>
      <rPr>
        <b/>
        <sz val="11"/>
        <color indexed="9"/>
        <rFont val="Calibri"/>
        <family val="2"/>
      </rPr>
      <t xml:space="preserve"> max</t>
    </r>
  </si>
  <si>
    <t>R av</t>
  </si>
  <si>
    <t>R max</t>
  </si>
  <si>
    <t>λ av</t>
  </si>
  <si>
    <t>λ max</t>
  </si>
  <si>
    <t>Eval</t>
  </si>
  <si>
    <t>info %</t>
  </si>
  <si>
    <t>Matrice réduite</t>
  </si>
  <si>
    <t>Vecteurs propres</t>
  </si>
  <si>
    <t>Valeurs propres</t>
  </si>
  <si>
    <t xml:space="preserve">Comparaison entre VB max mesuré et f(CP) </t>
  </si>
  <si>
    <t>Fpav</t>
  </si>
  <si>
    <t>Fs av</t>
  </si>
  <si>
    <t>Fs max</t>
  </si>
  <si>
    <t>Fpmax</t>
  </si>
  <si>
    <t>Fpnav</t>
  </si>
  <si>
    <t>Fpn max</t>
  </si>
  <si>
    <t>Fp av</t>
  </si>
  <si>
    <t>0244E3</t>
  </si>
  <si>
    <t>0374E4</t>
  </si>
  <si>
    <t>0533E2</t>
  </si>
  <si>
    <t xml:space="preserve">                                    Results</t>
  </si>
  <si>
    <t xml:space="preserve">                                                                                                                                                          Correlation Matrix</t>
  </si>
  <si>
    <t>RC</t>
  </si>
  <si>
    <t>RC:Relevent Criterion Considering VB max</t>
  </si>
  <si>
    <t>RC calculus</t>
  </si>
  <si>
    <t>VB max= f(CP) = x(insert)*RC - y(insert)</t>
  </si>
  <si>
    <t xml:space="preserve">RC </t>
  </si>
  <si>
    <t>f(RC)</t>
  </si>
  <si>
    <t xml:space="preserve">               Reduced Values</t>
  </si>
  <si>
    <t>Angles [°]=f(NC) [rev]</t>
  </si>
  <si>
    <t>Forces [N] = f(NC) [rev]</t>
  </si>
  <si>
    <t>Fact4 bis</t>
  </si>
  <si>
    <t>Fpn av</t>
  </si>
  <si>
    <t>RC=0,807*Fp av-0,727*Fpn av+0,808*Rav</t>
  </si>
</sst>
</file>

<file path=xl/styles.xml><?xml version="1.0" encoding="utf-8"?>
<styleSheet xmlns="http://schemas.openxmlformats.org/spreadsheetml/2006/main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9"/>
      <name val="Calibri"/>
      <family val="2"/>
    </font>
    <font>
      <b/>
      <sz val="16"/>
      <color indexed="9"/>
      <name val="Calibri"/>
      <family val="2"/>
    </font>
    <font>
      <b/>
      <sz val="48"/>
      <color indexed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49" fontId="0" fillId="7" borderId="1" xfId="0" applyNumberFormat="1" applyFill="1" applyBorder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11" fontId="0" fillId="0" borderId="0" xfId="0" applyNumberFormat="1"/>
    <xf numFmtId="11" fontId="1" fillId="8" borderId="1" xfId="0" applyNumberFormat="1" applyFont="1" applyFill="1" applyBorder="1" applyAlignment="1">
      <alignment horizontal="center"/>
    </xf>
    <xf numFmtId="11" fontId="1" fillId="8" borderId="0" xfId="0" applyNumberFormat="1" applyFont="1" applyFill="1" applyAlignment="1">
      <alignment horizontal="right"/>
    </xf>
    <xf numFmtId="2" fontId="0" fillId="3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0" borderId="0" xfId="0" applyNumberFormat="1" applyFill="1"/>
    <xf numFmtId="164" fontId="0" fillId="0" borderId="0" xfId="0" applyNumberFormat="1"/>
    <xf numFmtId="0" fontId="0" fillId="0" borderId="3" xfId="0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/>
    </xf>
    <xf numFmtId="11" fontId="1" fillId="0" borderId="0" xfId="0" applyNumberFormat="1" applyFont="1" applyFill="1" applyBorder="1" applyAlignment="1">
      <alignment horizontal="center"/>
    </xf>
    <xf numFmtId="11" fontId="1" fillId="0" borderId="0" xfId="0" applyNumberFormat="1" applyFont="1" applyFill="1" applyBorder="1" applyAlignment="1">
      <alignment horizontal="right"/>
    </xf>
    <xf numFmtId="2" fontId="0" fillId="0" borderId="0" xfId="0" applyNumberFormat="1"/>
    <xf numFmtId="0" fontId="3" fillId="12" borderId="4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10" borderId="0" xfId="0" applyFill="1"/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64" fontId="0" fillId="0" borderId="0" xfId="0" applyNumberFormat="1" applyFont="1" applyFill="1" applyBorder="1"/>
    <xf numFmtId="164" fontId="0" fillId="0" borderId="0" xfId="0" applyNumberFormat="1" applyFill="1" applyBorder="1"/>
    <xf numFmtId="2" fontId="0" fillId="0" borderId="0" xfId="0" applyNumberFormat="1" applyFill="1" applyBorder="1"/>
    <xf numFmtId="0" fontId="8" fillId="0" borderId="0" xfId="0" applyFont="1"/>
    <xf numFmtId="164" fontId="7" fillId="0" borderId="0" xfId="0" applyNumberFormat="1" applyFont="1" applyFill="1" applyAlignment="1">
      <alignment horizontal="right"/>
    </xf>
    <xf numFmtId="164" fontId="1" fillId="13" borderId="0" xfId="0" applyNumberFormat="1" applyFont="1" applyFill="1" applyAlignment="1">
      <alignment horizontal="right"/>
    </xf>
    <xf numFmtId="164" fontId="7" fillId="0" borderId="0" xfId="0" applyNumberFormat="1" applyFont="1" applyFill="1" applyBorder="1"/>
    <xf numFmtId="164" fontId="7" fillId="0" borderId="0" xfId="0" applyNumberFormat="1" applyFont="1"/>
    <xf numFmtId="11" fontId="1" fillId="8" borderId="0" xfId="0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/>
    <xf numFmtId="164" fontId="8" fillId="0" borderId="0" xfId="0" applyNumberFormat="1" applyFont="1" applyFill="1" applyBorder="1"/>
    <xf numFmtId="164" fontId="0" fillId="0" borderId="0" xfId="0" applyNumberFormat="1" applyFill="1" applyBorder="1" applyAlignment="1"/>
    <xf numFmtId="164" fontId="0" fillId="0" borderId="0" xfId="0" applyNumberFormat="1" applyFont="1" applyFill="1" applyBorder="1" applyAlignment="1"/>
    <xf numFmtId="0" fontId="1" fillId="8" borderId="8" xfId="0" applyFont="1" applyFill="1" applyBorder="1" applyAlignment="1">
      <alignment horizontal="center"/>
    </xf>
    <xf numFmtId="164" fontId="7" fillId="0" borderId="0" xfId="0" applyNumberFormat="1" applyFont="1" applyFill="1" applyBorder="1" applyAlignment="1"/>
    <xf numFmtId="164" fontId="1" fillId="8" borderId="1" xfId="0" applyNumberFormat="1" applyFont="1" applyFill="1" applyBorder="1" applyAlignment="1">
      <alignment horizontal="center"/>
    </xf>
    <xf numFmtId="0" fontId="0" fillId="0" borderId="0" xfId="0" applyAlignment="1"/>
    <xf numFmtId="11" fontId="9" fillId="8" borderId="0" xfId="0" applyNumberFormat="1" applyFont="1" applyFill="1" applyAlignment="1">
      <alignment horizontal="right"/>
    </xf>
    <xf numFmtId="0" fontId="9" fillId="8" borderId="2" xfId="0" applyFont="1" applyFill="1" applyBorder="1" applyAlignment="1">
      <alignment horizontal="right"/>
    </xf>
    <xf numFmtId="0" fontId="9" fillId="8" borderId="10" xfId="0" applyFont="1" applyFill="1" applyBorder="1" applyAlignment="1">
      <alignment horizontal="right"/>
    </xf>
    <xf numFmtId="164" fontId="7" fillId="0" borderId="0" xfId="0" applyNumberFormat="1" applyFont="1" applyBorder="1"/>
    <xf numFmtId="164" fontId="1" fillId="13" borderId="0" xfId="0" applyNumberFormat="1" applyFont="1" applyFill="1" applyBorder="1" applyAlignment="1">
      <alignment horizontal="right"/>
    </xf>
    <xf numFmtId="0" fontId="1" fillId="8" borderId="8" xfId="0" applyFont="1" applyFill="1" applyBorder="1" applyAlignment="1">
      <alignment horizontal="right"/>
    </xf>
    <xf numFmtId="11" fontId="1" fillId="8" borderId="7" xfId="0" applyNumberFormat="1" applyFont="1" applyFill="1" applyBorder="1" applyAlignment="1">
      <alignment horizontal="right"/>
    </xf>
    <xf numFmtId="164" fontId="7" fillId="0" borderId="11" xfId="0" applyNumberFormat="1" applyFont="1" applyBorder="1"/>
    <xf numFmtId="164" fontId="1" fillId="13" borderId="11" xfId="0" applyNumberFormat="1" applyFont="1" applyFill="1" applyBorder="1" applyAlignment="1">
      <alignment horizontal="right"/>
    </xf>
    <xf numFmtId="164" fontId="7" fillId="0" borderId="12" xfId="0" applyNumberFormat="1" applyFont="1" applyBorder="1"/>
    <xf numFmtId="11" fontId="1" fillId="8" borderId="13" xfId="0" applyNumberFormat="1" applyFont="1" applyFill="1" applyBorder="1" applyAlignment="1">
      <alignment horizontal="right"/>
    </xf>
    <xf numFmtId="164" fontId="7" fillId="0" borderId="14" xfId="0" applyNumberFormat="1" applyFont="1" applyBorder="1"/>
    <xf numFmtId="164" fontId="1" fillId="13" borderId="14" xfId="0" applyNumberFormat="1" applyFont="1" applyFill="1" applyBorder="1" applyAlignment="1">
      <alignment horizontal="right"/>
    </xf>
    <xf numFmtId="164" fontId="7" fillId="0" borderId="15" xfId="0" applyNumberFormat="1" applyFont="1" applyBorder="1"/>
    <xf numFmtId="164" fontId="7" fillId="14" borderId="0" xfId="0" applyNumberFormat="1" applyFont="1" applyFill="1" applyAlignment="1">
      <alignment horizontal="right"/>
    </xf>
    <xf numFmtId="2" fontId="0" fillId="0" borderId="0" xfId="0" applyNumberFormat="1" applyAlignment="1">
      <alignment horizontal="center"/>
    </xf>
    <xf numFmtId="0" fontId="1" fillId="16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2" fontId="0" fillId="18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164" fontId="7" fillId="19" borderId="11" xfId="0" applyNumberFormat="1" applyFont="1" applyFill="1" applyBorder="1"/>
    <xf numFmtId="164" fontId="7" fillId="19" borderId="14" xfId="0" applyNumberFormat="1" applyFont="1" applyFill="1" applyBorder="1"/>
    <xf numFmtId="164" fontId="7" fillId="20" borderId="11" xfId="0" applyNumberFormat="1" applyFont="1" applyFill="1" applyBorder="1"/>
    <xf numFmtId="164" fontId="7" fillId="20" borderId="14" xfId="0" applyNumberFormat="1" applyFont="1" applyFill="1" applyBorder="1"/>
    <xf numFmtId="164" fontId="7" fillId="21" borderId="14" xfId="0" applyNumberFormat="1" applyFont="1" applyFill="1" applyBorder="1"/>
    <xf numFmtId="164" fontId="7" fillId="22" borderId="14" xfId="0" applyNumberFormat="1" applyFont="1" applyFill="1" applyBorder="1"/>
    <xf numFmtId="164" fontId="7" fillId="22" borderId="11" xfId="0" applyNumberFormat="1" applyFont="1" applyFill="1" applyBorder="1"/>
    <xf numFmtId="164" fontId="7" fillId="21" borderId="11" xfId="0" applyNumberFormat="1" applyFont="1" applyFill="1" applyBorder="1"/>
    <xf numFmtId="164" fontId="7" fillId="19" borderId="0" xfId="0" applyNumberFormat="1" applyFont="1" applyFill="1" applyAlignment="1">
      <alignment horizontal="right"/>
    </xf>
    <xf numFmtId="164" fontId="7" fillId="22" borderId="0" xfId="0" applyNumberFormat="1" applyFont="1" applyFill="1" applyAlignment="1">
      <alignment horizontal="right"/>
    </xf>
    <xf numFmtId="164" fontId="7" fillId="19" borderId="0" xfId="0" applyNumberFormat="1" applyFont="1" applyFill="1"/>
    <xf numFmtId="2" fontId="8" fillId="0" borderId="0" xfId="0" applyNumberFormat="1" applyFont="1" applyFill="1" applyBorder="1"/>
    <xf numFmtId="2" fontId="7" fillId="0" borderId="0" xfId="0" applyNumberFormat="1" applyFont="1" applyFill="1" applyBorder="1" applyAlignment="1"/>
    <xf numFmtId="2" fontId="0" fillId="0" borderId="0" xfId="0" applyNumberFormat="1" applyFont="1" applyFill="1" applyBorder="1"/>
    <xf numFmtId="2" fontId="0" fillId="24" borderId="0" xfId="0" applyNumberFormat="1" applyFill="1" applyAlignment="1">
      <alignment horizontal="center"/>
    </xf>
    <xf numFmtId="0" fontId="6" fillId="15" borderId="16" xfId="0" applyFont="1" applyFill="1" applyBorder="1" applyAlignment="1">
      <alignment horizontal="center" vertical="center" textRotation="90"/>
    </xf>
    <xf numFmtId="0" fontId="1" fillId="16" borderId="3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 textRotation="90"/>
    </xf>
    <xf numFmtId="49" fontId="11" fillId="23" borderId="8" xfId="0" applyNumberFormat="1" applyFont="1" applyFill="1" applyBorder="1" applyAlignment="1">
      <alignment horizontal="center"/>
    </xf>
    <xf numFmtId="49" fontId="11" fillId="2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1" fillId="10" borderId="0" xfId="0" applyFont="1" applyFill="1" applyAlignment="1">
      <alignment horizontal="left"/>
    </xf>
    <xf numFmtId="0" fontId="2" fillId="6" borderId="0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12" fillId="17" borderId="0" xfId="0" applyFont="1" applyFill="1" applyAlignment="1">
      <alignment horizontal="center" textRotation="90"/>
    </xf>
    <xf numFmtId="0" fontId="4" fillId="10" borderId="0" xfId="0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3" fillId="23" borderId="0" xfId="0" applyFont="1" applyFill="1" applyAlignment="1">
      <alignment horizontal="center"/>
    </xf>
    <xf numFmtId="164" fontId="7" fillId="21" borderId="0" xfId="0" applyNumberFormat="1" applyFont="1" applyFill="1" applyAlignment="1">
      <alignment horizontal="right"/>
    </xf>
    <xf numFmtId="164" fontId="7" fillId="20" borderId="0" xfId="0" applyNumberFormat="1" applyFont="1" applyFill="1" applyAlignment="1">
      <alignment horizontal="right"/>
    </xf>
    <xf numFmtId="164" fontId="7" fillId="21" borderId="5" xfId="0" applyNumberFormat="1" applyFont="1" applyFill="1" applyBorder="1"/>
    <xf numFmtId="164" fontId="7" fillId="20" borderId="5" xfId="0" applyNumberFormat="1" applyFont="1" applyFill="1" applyBorder="1"/>
    <xf numFmtId="164" fontId="14" fillId="25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 for the insert N°0244 </a:t>
            </a:r>
          </a:p>
        </c:rich>
      </c:tx>
      <c:layout>
        <c:manualLayout>
          <c:xMode val="edge"/>
          <c:yMode val="edge"/>
          <c:x val="0.15304663840096938"/>
          <c:y val="0.8167929451296464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655102181759584"/>
          <c:y val="4.142011834319527E-2"/>
          <c:w val="0.74441777539762188"/>
          <c:h val="0.62426035502958643"/>
        </c:manualLayout>
      </c:layout>
      <c:scatterChart>
        <c:scatterStyle val="lineMarker"/>
        <c:ser>
          <c:idx val="0"/>
          <c:order val="0"/>
          <c:tx>
            <c:v>VB max = f(RC)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9657789674553708"/>
                  <c:y val="0.49616207737346441"/>
                </c:manualLayout>
              </c:layout>
              <c:numFmt formatCode="General" sourceLinked="0"/>
            </c:trendlineLbl>
          </c:trendline>
          <c:xVal>
            <c:numRef>
              <c:f>vbmax!$C$3:$C$17</c:f>
              <c:numCache>
                <c:formatCode>0.00</c:formatCode>
                <c:ptCount val="15"/>
                <c:pt idx="0">
                  <c:v>-1.1964115126331716</c:v>
                </c:pt>
                <c:pt idx="1">
                  <c:v>-3.1228240222507395</c:v>
                </c:pt>
                <c:pt idx="2">
                  <c:v>-2.2631898480022485</c:v>
                </c:pt>
                <c:pt idx="3">
                  <c:v>-2.270920333010559</c:v>
                </c:pt>
                <c:pt idx="4">
                  <c:v>-2.587920739407739</c:v>
                </c:pt>
                <c:pt idx="5">
                  <c:v>-2.7071268030598037</c:v>
                </c:pt>
                <c:pt idx="6">
                  <c:v>-2.703603834066469</c:v>
                </c:pt>
                <c:pt idx="7">
                  <c:v>-2.7250079946344092</c:v>
                </c:pt>
                <c:pt idx="8">
                  <c:v>-1.6794511030772514</c:v>
                </c:pt>
                <c:pt idx="9">
                  <c:v>-1.6753570986367889</c:v>
                </c:pt>
                <c:pt idx="10">
                  <c:v>-0.38193885306914022</c:v>
                </c:pt>
                <c:pt idx="11">
                  <c:v>0.91688682420419843</c:v>
                </c:pt>
                <c:pt idx="12">
                  <c:v>-6.1535451681828307E-2</c:v>
                </c:pt>
                <c:pt idx="13">
                  <c:v>-0.3193778055755972</c:v>
                </c:pt>
                <c:pt idx="14">
                  <c:v>1.3282425286181718</c:v>
                </c:pt>
              </c:numCache>
            </c:numRef>
          </c:xVal>
          <c:yVal>
            <c:numRef>
              <c:f>vbmax!$B$3:$B$17</c:f>
              <c:numCache>
                <c:formatCode>0.00</c:formatCode>
                <c:ptCount val="15"/>
                <c:pt idx="0">
                  <c:v>-1.0208451676372952</c:v>
                </c:pt>
                <c:pt idx="1">
                  <c:v>-0.98389149641060569</c:v>
                </c:pt>
                <c:pt idx="2">
                  <c:v>-0.90998415395722687</c:v>
                </c:pt>
                <c:pt idx="3">
                  <c:v>-0.89150731834388219</c:v>
                </c:pt>
                <c:pt idx="4">
                  <c:v>-0.81759997589050337</c:v>
                </c:pt>
                <c:pt idx="5">
                  <c:v>-0.66978529098374573</c:v>
                </c:pt>
                <c:pt idx="6">
                  <c:v>-0.33720224994354092</c:v>
                </c:pt>
                <c:pt idx="7">
                  <c:v>-0.28177174310350678</c:v>
                </c:pt>
                <c:pt idx="8">
                  <c:v>-0.13395705819674913</c:v>
                </c:pt>
                <c:pt idx="9">
                  <c:v>0.27253332529683444</c:v>
                </c:pt>
                <c:pt idx="10">
                  <c:v>0.51273218827031564</c:v>
                </c:pt>
                <c:pt idx="11">
                  <c:v>0.60511636633703925</c:v>
                </c:pt>
                <c:pt idx="12">
                  <c:v>0.78988472247048624</c:v>
                </c:pt>
                <c:pt idx="13">
                  <c:v>1.7137265031377218</c:v>
                </c:pt>
                <c:pt idx="14">
                  <c:v>2.9331976536184725</c:v>
                </c:pt>
              </c:numCache>
            </c:numRef>
          </c:yVal>
        </c:ser>
        <c:axId val="101701120"/>
        <c:axId val="101702656"/>
      </c:scatterChart>
      <c:valAx>
        <c:axId val="101701120"/>
        <c:scaling>
          <c:orientation val="minMax"/>
        </c:scaling>
        <c:axPos val="b"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702656"/>
        <c:crosses val="autoZero"/>
        <c:crossBetween val="midCat"/>
      </c:valAx>
      <c:valAx>
        <c:axId val="101702656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" sourceLinked="1"/>
        <c:tickLblPos val="nextTo"/>
        <c:crossAx val="101701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6.9479168701927135E-2"/>
          <c:y val="4.4378698224852069E-2"/>
          <c:w val="0.32440033085194414"/>
          <c:h val="0.23799468853375591"/>
        </c:manualLayout>
      </c:layout>
    </c:legend>
    <c:plotVisOnly val="1"/>
    <c:dispBlanksAs val="gap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&amp; RC for the insert N°374</a:t>
            </a:r>
          </a:p>
        </c:rich>
      </c:tx>
      <c:layout>
        <c:manualLayout>
          <c:xMode val="edge"/>
          <c:yMode val="edge"/>
          <c:x val="0.15304663840096938"/>
          <c:y val="0.81679293046949131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9602977667493796"/>
          <c:y val="5.3254437869822487E-2"/>
          <c:w val="0.74441687344913221"/>
          <c:h val="0.5650887573964497"/>
        </c:manualLayout>
      </c:layout>
      <c:scatterChart>
        <c:scatterStyle val="lineMarker"/>
        <c:ser>
          <c:idx val="0"/>
          <c:order val="0"/>
          <c:tx>
            <c:v>VB max = f(RC)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2560273017981933"/>
                  <c:y val="0.59588935998384818"/>
                </c:manualLayout>
              </c:layout>
              <c:numFmt formatCode="General" sourceLinked="0"/>
            </c:trendlineLbl>
          </c:trendline>
          <c:xVal>
            <c:numRef>
              <c:f>vbmax!$H$3:$H$18</c:f>
              <c:numCache>
                <c:formatCode>0.00</c:formatCode>
                <c:ptCount val="16"/>
                <c:pt idx="0">
                  <c:v>-1.4347715374859362</c:v>
                </c:pt>
                <c:pt idx="1">
                  <c:v>5.7796301936049455E-2</c:v>
                </c:pt>
                <c:pt idx="2">
                  <c:v>-0.76655892533258008</c:v>
                </c:pt>
                <c:pt idx="3">
                  <c:v>-0.57406028850915225</c:v>
                </c:pt>
                <c:pt idx="4">
                  <c:v>-1.2691326901159001</c:v>
                </c:pt>
                <c:pt idx="5">
                  <c:v>-2.1667199657997736</c:v>
                </c:pt>
                <c:pt idx="6">
                  <c:v>-2.703603834066469</c:v>
                </c:pt>
                <c:pt idx="7">
                  <c:v>-0.41418734863950035</c:v>
                </c:pt>
                <c:pt idx="8">
                  <c:v>-0.12506667536456695</c:v>
                </c:pt>
                <c:pt idx="9">
                  <c:v>0.89764391493741769</c:v>
                </c:pt>
                <c:pt idx="10">
                  <c:v>-0.11544190455874802</c:v>
                </c:pt>
                <c:pt idx="11">
                  <c:v>-3.3097426201466218E-2</c:v>
                </c:pt>
                <c:pt idx="12">
                  <c:v>3.9428128041432027</c:v>
                </c:pt>
                <c:pt idx="13">
                  <c:v>2.3689047755868664</c:v>
                </c:pt>
                <c:pt idx="14">
                  <c:v>4.2143054591961402</c:v>
                </c:pt>
                <c:pt idx="15">
                  <c:v>6.412433899625249</c:v>
                </c:pt>
              </c:numCache>
            </c:numRef>
          </c:xVal>
          <c:yVal>
            <c:numRef>
              <c:f>vbmax!$G$3:$G$18</c:f>
              <c:numCache>
                <c:formatCode>0.00</c:formatCode>
                <c:ptCount val="16"/>
                <c:pt idx="0">
                  <c:v>-1.0208451676372952</c:v>
                </c:pt>
                <c:pt idx="1">
                  <c:v>-0.78064630466381391</c:v>
                </c:pt>
                <c:pt idx="2">
                  <c:v>-0.79912314027715858</c:v>
                </c:pt>
                <c:pt idx="3">
                  <c:v>-0.61435478414371159</c:v>
                </c:pt>
                <c:pt idx="4">
                  <c:v>-0.55892427730367744</c:v>
                </c:pt>
                <c:pt idx="5">
                  <c:v>-0.54044744169033276</c:v>
                </c:pt>
                <c:pt idx="6">
                  <c:v>-0.33720224994354092</c:v>
                </c:pt>
                <c:pt idx="7">
                  <c:v>-0.39263275678357507</c:v>
                </c:pt>
                <c:pt idx="8">
                  <c:v>-0.30024857871685151</c:v>
                </c:pt>
                <c:pt idx="9">
                  <c:v>3.2334462323353241E-2</c:v>
                </c:pt>
                <c:pt idx="10">
                  <c:v>0.1431954760034215</c:v>
                </c:pt>
                <c:pt idx="11">
                  <c:v>0.56816269511034978</c:v>
                </c:pt>
                <c:pt idx="12">
                  <c:v>0.71597738001710742</c:v>
                </c:pt>
                <c:pt idx="13">
                  <c:v>0.97465307860393335</c:v>
                </c:pt>
                <c:pt idx="14">
                  <c:v>1.8061106812044452</c:v>
                </c:pt>
                <c:pt idx="15">
                  <c:v>2.6006146125782679</c:v>
                </c:pt>
              </c:numCache>
            </c:numRef>
          </c:yVal>
        </c:ser>
        <c:axId val="105991552"/>
        <c:axId val="106017920"/>
      </c:scatterChart>
      <c:valAx>
        <c:axId val="105991552"/>
        <c:scaling>
          <c:orientation val="minMax"/>
        </c:scaling>
        <c:axPos val="b"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6017920"/>
        <c:crosses val="autoZero"/>
        <c:crossBetween val="midCat"/>
      </c:valAx>
      <c:valAx>
        <c:axId val="1060179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" sourceLinked="1"/>
        <c:tickLblPos val="nextTo"/>
        <c:crossAx val="105991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4.0837810906391034E-2"/>
          <c:y val="2.9581450247713109E-2"/>
          <c:w val="0.32440033085194414"/>
          <c:h val="0.23799468853375591"/>
        </c:manualLayout>
      </c:layout>
    </c:legend>
    <c:plotVisOnly val="1"/>
    <c:dispBlanksAs val="gap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 for the insert N°533</a:t>
            </a:r>
          </a:p>
        </c:rich>
      </c:tx>
      <c:layout>
        <c:manualLayout>
          <c:xMode val="edge"/>
          <c:yMode val="edge"/>
          <c:x val="0.15304663840096938"/>
          <c:y val="0.81679293046949131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0264681555004135"/>
          <c:y val="5.7199211045364892E-2"/>
          <c:w val="0.74441687344913221"/>
          <c:h val="0.6213017751479285"/>
        </c:manualLayout>
      </c:layout>
      <c:scatterChart>
        <c:scatterStyle val="lineMarker"/>
        <c:ser>
          <c:idx val="0"/>
          <c:order val="0"/>
          <c:tx>
            <c:v>VB max = f(RC)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4566733748852112"/>
                  <c:y val="0.5093407259003867"/>
                </c:manualLayout>
              </c:layout>
              <c:numFmt formatCode="General" sourceLinked="0"/>
            </c:trendlineLbl>
          </c:trendline>
          <c:xVal>
            <c:numRef>
              <c:f>vbmax!$M$3:$M$23</c:f>
              <c:numCache>
                <c:formatCode>0.00</c:formatCode>
                <c:ptCount val="21"/>
                <c:pt idx="0">
                  <c:v>-1.3112090231537477</c:v>
                </c:pt>
                <c:pt idx="1">
                  <c:v>-1.7048282824258552</c:v>
                </c:pt>
                <c:pt idx="2">
                  <c:v>7.576933305252978E-2</c:v>
                </c:pt>
                <c:pt idx="3">
                  <c:v>3.3946148440451226E-2</c:v>
                </c:pt>
                <c:pt idx="4">
                  <c:v>1.2237000307950678</c:v>
                </c:pt>
                <c:pt idx="5">
                  <c:v>0.47717382879872994</c:v>
                </c:pt>
                <c:pt idx="6">
                  <c:v>-2.7747849758525449</c:v>
                </c:pt>
                <c:pt idx="7">
                  <c:v>-0.2314923180096454</c:v>
                </c:pt>
                <c:pt idx="8">
                  <c:v>-0.60379103056129435</c:v>
                </c:pt>
                <c:pt idx="9">
                  <c:v>-0.46780871730769069</c:v>
                </c:pt>
                <c:pt idx="10">
                  <c:v>-1.5533018078117737</c:v>
                </c:pt>
                <c:pt idx="11">
                  <c:v>-0.82486064057186703</c:v>
                </c:pt>
                <c:pt idx="12">
                  <c:v>-1.8145745725824285</c:v>
                </c:pt>
                <c:pt idx="13">
                  <c:v>3.5200409708840228</c:v>
                </c:pt>
                <c:pt idx="14">
                  <c:v>2.2355927497957762</c:v>
                </c:pt>
                <c:pt idx="15">
                  <c:v>0.81238472547239871</c:v>
                </c:pt>
                <c:pt idx="16">
                  <c:v>1.1704609089822233</c:v>
                </c:pt>
                <c:pt idx="17">
                  <c:v>0.89337861273305674</c:v>
                </c:pt>
                <c:pt idx="18">
                  <c:v>3.6025829682562751</c:v>
                </c:pt>
                <c:pt idx="19">
                  <c:v>3.0392661899999638</c:v>
                </c:pt>
                <c:pt idx="20">
                  <c:v>5.9347783808811414</c:v>
                </c:pt>
              </c:numCache>
            </c:numRef>
          </c:xVal>
          <c:yVal>
            <c:numRef>
              <c:f>vbmax!$L$3:$L$23</c:f>
              <c:numCache>
                <c:formatCode>0.00</c:formatCode>
                <c:ptCount val="21"/>
                <c:pt idx="0">
                  <c:v>-1.0393220032506398</c:v>
                </c:pt>
                <c:pt idx="1">
                  <c:v>-1.0023683320239505</c:v>
                </c:pt>
                <c:pt idx="2">
                  <c:v>-0.94693782518391634</c:v>
                </c:pt>
                <c:pt idx="3">
                  <c:v>-0.83607681150384805</c:v>
                </c:pt>
                <c:pt idx="4">
                  <c:v>-0.76216946905046923</c:v>
                </c:pt>
                <c:pt idx="5">
                  <c:v>-0.94693782518391634</c:v>
                </c:pt>
                <c:pt idx="6">
                  <c:v>-0.87303048273053752</c:v>
                </c:pt>
                <c:pt idx="7">
                  <c:v>-0.76216946905046923</c:v>
                </c:pt>
                <c:pt idx="8">
                  <c:v>-0.39263275678357507</c:v>
                </c:pt>
                <c:pt idx="9">
                  <c:v>-0.24249999999999999</c:v>
                </c:pt>
                <c:pt idx="10">
                  <c:v>-0.41110959239691974</c:v>
                </c:pt>
                <c:pt idx="11">
                  <c:v>-0.37415592117023033</c:v>
                </c:pt>
                <c:pt idx="12">
                  <c:v>-0.20786440065012796</c:v>
                </c:pt>
                <c:pt idx="13">
                  <c:v>-4.1572880130025594E-2</c:v>
                </c:pt>
                <c:pt idx="14">
                  <c:v>0.21710281845680032</c:v>
                </c:pt>
                <c:pt idx="15">
                  <c:v>0.32796383213686858</c:v>
                </c:pt>
                <c:pt idx="16">
                  <c:v>0.56816269511034978</c:v>
                </c:pt>
                <c:pt idx="17">
                  <c:v>0.80836155808383103</c:v>
                </c:pt>
                <c:pt idx="18">
                  <c:v>1.2333287771907593</c:v>
                </c:pt>
                <c:pt idx="19">
                  <c:v>1.3072361196441382</c:v>
                </c:pt>
                <c:pt idx="20">
                  <c:v>2.45279992767151</c:v>
                </c:pt>
              </c:numCache>
            </c:numRef>
          </c:yVal>
        </c:ser>
        <c:axId val="109582592"/>
        <c:axId val="109584384"/>
      </c:scatterChart>
      <c:valAx>
        <c:axId val="109582592"/>
        <c:scaling>
          <c:orientation val="minMax"/>
        </c:scaling>
        <c:axPos val="b"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9584384"/>
        <c:crosses val="autoZero"/>
        <c:crossBetween val="midCat"/>
      </c:valAx>
      <c:valAx>
        <c:axId val="109584384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" sourceLinked="1"/>
        <c:tickLblPos val="nextTo"/>
        <c:crossAx val="109582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2.6468155500413565E-2"/>
          <c:y val="3.1558185404339252E-2"/>
          <c:w val="0.32440033085194414"/>
          <c:h val="0.23799468853375591"/>
        </c:manualLayout>
      </c:layout>
    </c:legend>
    <c:plotVisOnly val="1"/>
    <c:dispBlanksAs val="gap"/>
  </c:chart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Correlation between RC and VB max</a:t>
            </a:r>
          </a:p>
        </c:rich>
      </c:tx>
      <c:layout/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857700832752279"/>
          <c:y val="0.1831489838473748"/>
          <c:w val="0.82974552586974148"/>
          <c:h val="0.53157931016198723"/>
        </c:manualLayout>
      </c:layout>
      <c:barChart>
        <c:barDir val="col"/>
        <c:grouping val="clustered"/>
        <c:ser>
          <c:idx val="0"/>
          <c:order val="0"/>
          <c:tx>
            <c:v>correlation between RC &amp; VB max</c:v>
          </c:tx>
          <c:dLbls>
            <c:showVal val="1"/>
          </c:dLbls>
          <c:cat>
            <c:strLit>
              <c:ptCount val="3"/>
              <c:pt idx="0">
                <c:v>dragging</c:v>
              </c:pt>
              <c:pt idx="1">
                <c:v>reference</c:v>
              </c:pt>
              <c:pt idx="2">
                <c:v>magneto abrasive machining</c:v>
              </c:pt>
            </c:strLit>
          </c:cat>
          <c:val>
            <c:numRef>
              <c:f>(vbmax!$D$18,vbmax!$I$19,vbmax!$N$24)</c:f>
              <c:numCache>
                <c:formatCode>0.00</c:formatCode>
                <c:ptCount val="3"/>
                <c:pt idx="0">
                  <c:v>82.977436056530408</c:v>
                </c:pt>
                <c:pt idx="1">
                  <c:v>89.943067104292993</c:v>
                </c:pt>
                <c:pt idx="2">
                  <c:v>79.957074117061268</c:v>
                </c:pt>
              </c:numCache>
            </c:numRef>
          </c:val>
        </c:ser>
        <c:axId val="109618688"/>
        <c:axId val="109620224"/>
      </c:barChart>
      <c:catAx>
        <c:axId val="109618688"/>
        <c:scaling>
          <c:orientation val="minMax"/>
        </c:scaling>
        <c:axPos val="b"/>
        <c:numFmt formatCode="General" sourceLinked="1"/>
        <c:tickLblPos val="nextTo"/>
        <c:crossAx val="109620224"/>
        <c:crosses val="autoZero"/>
        <c:auto val="1"/>
        <c:lblAlgn val="ctr"/>
        <c:lblOffset val="100"/>
      </c:catAx>
      <c:valAx>
        <c:axId val="109620224"/>
        <c:scaling>
          <c:orientation val="minMax"/>
          <c:max val="100"/>
          <c:min val="0"/>
        </c:scaling>
        <c:axPos val="l"/>
        <c:majorGridlines/>
        <c:numFmt formatCode="0.00" sourceLinked="1"/>
        <c:tickLblPos val="nextTo"/>
        <c:crossAx val="109618688"/>
        <c:crosses val="autoZero"/>
        <c:crossBetween val="between"/>
        <c:majorUnit val="25"/>
      </c:valAx>
    </c:plotArea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  <c:txPr>
        <a:bodyPr/>
        <a:lstStyle/>
        <a:p>
          <a:pPr>
            <a:defRPr sz="1050"/>
          </a:pPr>
          <a:endParaRPr lang="fr-FR"/>
        </a:p>
      </c:txPr>
    </c:title>
    <c:plotArea>
      <c:layout/>
      <c:barChart>
        <c:barDir val="col"/>
        <c:grouping val="clustered"/>
        <c:ser>
          <c:idx val="0"/>
          <c:order val="0"/>
          <c:tx>
            <c:v>Eigenvalues implication %</c:v>
          </c:tx>
          <c:dLbls>
            <c:showVal val="1"/>
          </c:dLbls>
          <c:cat>
            <c:strRef>
              <c:f>(vbmax!$E$29,vbmax!$D$29,vbmax!$C$29,vbmax!$B$29)</c:f>
              <c:strCache>
                <c:ptCount val="4"/>
                <c:pt idx="1">
                  <c:v>Fact3</c:v>
                </c:pt>
                <c:pt idx="2">
                  <c:v>Fact2</c:v>
                </c:pt>
                <c:pt idx="3">
                  <c:v>Fact1</c:v>
                </c:pt>
              </c:strCache>
            </c:strRef>
          </c:cat>
          <c:val>
            <c:numRef>
              <c:f>(vbmax!$E$38,vbmax!$D$38,vbmax!$C$38,vbmax!$B$38)</c:f>
              <c:numCache>
                <c:formatCode>0.00</c:formatCode>
                <c:ptCount val="4"/>
                <c:pt idx="1">
                  <c:v>88.836666666666659</c:v>
                </c:pt>
                <c:pt idx="2">
                  <c:v>10.853333333333333</c:v>
                </c:pt>
                <c:pt idx="3">
                  <c:v>0.31</c:v>
                </c:pt>
              </c:numCache>
            </c:numRef>
          </c:val>
        </c:ser>
        <c:axId val="107836544"/>
        <c:axId val="107838080"/>
      </c:barChart>
      <c:catAx>
        <c:axId val="107836544"/>
        <c:scaling>
          <c:orientation val="minMax"/>
        </c:scaling>
        <c:axPos val="b"/>
        <c:tickLblPos val="nextTo"/>
        <c:crossAx val="107838080"/>
        <c:crosses val="autoZero"/>
        <c:auto val="1"/>
        <c:lblAlgn val="ctr"/>
        <c:lblOffset val="100"/>
      </c:catAx>
      <c:valAx>
        <c:axId val="107838080"/>
        <c:scaling>
          <c:orientation val="minMax"/>
        </c:scaling>
        <c:axPos val="l"/>
        <c:majorGridlines/>
        <c:numFmt formatCode="0.00" sourceLinked="1"/>
        <c:tickLblPos val="nextTo"/>
        <c:crossAx val="1078365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5479166666666665"/>
          <c:h val="0.8298611111111116"/>
        </c:manualLayout>
      </c:layout>
      <c:scatterChart>
        <c:scatterStyle val="lineMarker"/>
        <c:ser>
          <c:idx val="0"/>
          <c:order val="0"/>
          <c:tx>
            <c:v>VB=f(NC)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vbmax!$B$3:$B$17</c:f>
              <c:numCache>
                <c:formatCode>0.00</c:formatCode>
                <c:ptCount val="15"/>
                <c:pt idx="0">
                  <c:v>-1.0208451676372952</c:v>
                </c:pt>
                <c:pt idx="1">
                  <c:v>-0.98389149641060569</c:v>
                </c:pt>
                <c:pt idx="2">
                  <c:v>-0.90998415395722687</c:v>
                </c:pt>
                <c:pt idx="3">
                  <c:v>-0.89150731834388219</c:v>
                </c:pt>
                <c:pt idx="4">
                  <c:v>-0.81759997589050337</c:v>
                </c:pt>
                <c:pt idx="5">
                  <c:v>-0.66978529098374573</c:v>
                </c:pt>
                <c:pt idx="6">
                  <c:v>-0.33720224994354092</c:v>
                </c:pt>
                <c:pt idx="7">
                  <c:v>-0.28177174310350678</c:v>
                </c:pt>
                <c:pt idx="8">
                  <c:v>-0.13395705819674913</c:v>
                </c:pt>
                <c:pt idx="9">
                  <c:v>0.27253332529683444</c:v>
                </c:pt>
                <c:pt idx="10">
                  <c:v>0.51273218827031564</c:v>
                </c:pt>
                <c:pt idx="11">
                  <c:v>0.60511636633703925</c:v>
                </c:pt>
                <c:pt idx="12">
                  <c:v>0.78988472247048624</c:v>
                </c:pt>
                <c:pt idx="13">
                  <c:v>1.7137265031377218</c:v>
                </c:pt>
                <c:pt idx="14">
                  <c:v>2.9331976536184725</c:v>
                </c:pt>
              </c:numCache>
            </c:numRef>
          </c:yVal>
        </c:ser>
        <c:ser>
          <c:idx val="1"/>
          <c:order val="1"/>
          <c:tx>
            <c:v>RC=f(NC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vbmax!$D$3:$D$17</c:f>
              <c:numCache>
                <c:formatCode>0.00</c:formatCode>
                <c:ptCount val="15"/>
                <c:pt idx="0">
                  <c:v>0.20637199014947349</c:v>
                </c:pt>
                <c:pt idx="1">
                  <c:v>-1.0669866787077389</c:v>
                </c:pt>
                <c:pt idx="2">
                  <c:v>-0.49876848952948649</c:v>
                </c:pt>
                <c:pt idx="3">
                  <c:v>-0.50387834011997967</c:v>
                </c:pt>
                <c:pt idx="4">
                  <c:v>-0.71341560874851562</c:v>
                </c:pt>
                <c:pt idx="5">
                  <c:v>-0.79221081682253025</c:v>
                </c:pt>
                <c:pt idx="6">
                  <c:v>-0.78988213431793619</c:v>
                </c:pt>
                <c:pt idx="7">
                  <c:v>-0.80403028445334457</c:v>
                </c:pt>
                <c:pt idx="8">
                  <c:v>-0.11291717913406318</c:v>
                </c:pt>
                <c:pt idx="9">
                  <c:v>-0.11021104219891764</c:v>
                </c:pt>
                <c:pt idx="10">
                  <c:v>0.74473841812129826</c:v>
                </c:pt>
                <c:pt idx="11">
                  <c:v>1.6032621907989753</c:v>
                </c:pt>
                <c:pt idx="12">
                  <c:v>0.95652506643831148</c:v>
                </c:pt>
                <c:pt idx="13">
                  <c:v>0.7860912705145302</c:v>
                </c:pt>
                <c:pt idx="14">
                  <c:v>1.8751683114166116</c:v>
                </c:pt>
              </c:numCache>
            </c:numRef>
          </c:yVal>
        </c:ser>
        <c:axId val="110800256"/>
        <c:axId val="109651072"/>
      </c:scatterChart>
      <c:valAx>
        <c:axId val="11080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9651072"/>
        <c:crosses val="autoZero"/>
        <c:crossBetween val="midCat"/>
      </c:valAx>
      <c:valAx>
        <c:axId val="109651072"/>
        <c:scaling>
          <c:orientation val="minMax"/>
        </c:scaling>
        <c:axPos val="l"/>
        <c:majorGridlines/>
        <c:numFmt formatCode="0.00" sourceLinked="1"/>
        <c:tickLblPos val="nextTo"/>
        <c:crossAx val="11080025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377" l="0.70000000000000062" r="0.70000000000000062" t="0.75000000000000377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55000000000000004"/>
          <c:h val="0.8298611111111116"/>
        </c:manualLayout>
      </c:layout>
      <c:scatterChart>
        <c:scatterStyle val="lineMarker"/>
        <c:ser>
          <c:idx val="0"/>
          <c:order val="0"/>
          <c:tx>
            <c:v>VB max = f(NC)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vbmax!$G$3:$G$18</c:f>
              <c:numCache>
                <c:formatCode>0.00</c:formatCode>
                <c:ptCount val="16"/>
                <c:pt idx="0">
                  <c:v>-1.0208451676372952</c:v>
                </c:pt>
                <c:pt idx="1">
                  <c:v>-0.78064630466381391</c:v>
                </c:pt>
                <c:pt idx="2">
                  <c:v>-0.79912314027715858</c:v>
                </c:pt>
                <c:pt idx="3">
                  <c:v>-0.61435478414371159</c:v>
                </c:pt>
                <c:pt idx="4">
                  <c:v>-0.55892427730367744</c:v>
                </c:pt>
                <c:pt idx="5">
                  <c:v>-0.54044744169033276</c:v>
                </c:pt>
                <c:pt idx="6">
                  <c:v>-0.33720224994354092</c:v>
                </c:pt>
                <c:pt idx="7">
                  <c:v>-0.39263275678357507</c:v>
                </c:pt>
                <c:pt idx="8">
                  <c:v>-0.30024857871685151</c:v>
                </c:pt>
                <c:pt idx="9">
                  <c:v>3.2334462323353241E-2</c:v>
                </c:pt>
                <c:pt idx="10">
                  <c:v>0.1431954760034215</c:v>
                </c:pt>
                <c:pt idx="11">
                  <c:v>0.56816269511034978</c:v>
                </c:pt>
                <c:pt idx="12">
                  <c:v>0.71597738001710742</c:v>
                </c:pt>
                <c:pt idx="13">
                  <c:v>0.97465307860393335</c:v>
                </c:pt>
                <c:pt idx="14">
                  <c:v>1.8061106812044452</c:v>
                </c:pt>
                <c:pt idx="15">
                  <c:v>2.6006146125782679</c:v>
                </c:pt>
              </c:numCache>
            </c:numRef>
          </c:yVal>
        </c:ser>
        <c:ser>
          <c:idx val="1"/>
          <c:order val="1"/>
          <c:tx>
            <c:v>RC=f(NC)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vbmax!$I$3:$I$18</c:f>
              <c:numCache>
                <c:formatCode>0.00</c:formatCode>
                <c:ptCount val="16"/>
                <c:pt idx="0">
                  <c:v>-0.61813074825987524</c:v>
                </c:pt>
                <c:pt idx="1">
                  <c:v>-7.4239027574503569E-2</c:v>
                </c:pt>
                <c:pt idx="2">
                  <c:v>-0.37463407239119217</c:v>
                </c:pt>
                <c:pt idx="3">
                  <c:v>-0.30448756913273511</c:v>
                </c:pt>
                <c:pt idx="4">
                  <c:v>-0.55777195227823406</c:v>
                </c:pt>
                <c:pt idx="5">
                  <c:v>-0.88485275553743747</c:v>
                </c:pt>
                <c:pt idx="6">
                  <c:v>-1.0804932371338214</c:v>
                </c:pt>
                <c:pt idx="7">
                  <c:v>-0.24622986984423392</c:v>
                </c:pt>
                <c:pt idx="8">
                  <c:v>-0.14087429650284819</c:v>
                </c:pt>
                <c:pt idx="9">
                  <c:v>0.23180144260319502</c:v>
                </c:pt>
                <c:pt idx="10">
                  <c:v>-0.13736703002120776</c:v>
                </c:pt>
                <c:pt idx="11">
                  <c:v>-0.10736070210781429</c:v>
                </c:pt>
                <c:pt idx="12">
                  <c:v>1.341460985829783</c:v>
                </c:pt>
                <c:pt idx="13">
                  <c:v>0.76792890022385407</c:v>
                </c:pt>
                <c:pt idx="14">
                  <c:v>1.4403929093310734</c:v>
                </c:pt>
                <c:pt idx="15">
                  <c:v>2.2413909130234408</c:v>
                </c:pt>
              </c:numCache>
            </c:numRef>
          </c:yVal>
        </c:ser>
        <c:axId val="109671552"/>
        <c:axId val="109673088"/>
      </c:scatterChart>
      <c:valAx>
        <c:axId val="10967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9673088"/>
        <c:crosses val="autoZero"/>
        <c:crossBetween val="midCat"/>
      </c:valAx>
      <c:valAx>
        <c:axId val="109673088"/>
        <c:scaling>
          <c:orientation val="minMax"/>
        </c:scaling>
        <c:axPos val="l"/>
        <c:majorGridlines/>
        <c:numFmt formatCode="0.00" sourceLinked="1"/>
        <c:tickLblPos val="nextTo"/>
        <c:crossAx val="109671552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4" l="0.70000000000000062" r="0.70000000000000062" t="0.750000000000004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5479166666666665"/>
          <c:h val="0.8298611111111116"/>
        </c:manualLayout>
      </c:layout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vbmax!$L$3:$L$23</c:f>
              <c:numCache>
                <c:formatCode>0.00</c:formatCode>
                <c:ptCount val="21"/>
                <c:pt idx="0">
                  <c:v>-1.0393220032506398</c:v>
                </c:pt>
                <c:pt idx="1">
                  <c:v>-1.0023683320239505</c:v>
                </c:pt>
                <c:pt idx="2">
                  <c:v>-0.94693782518391634</c:v>
                </c:pt>
                <c:pt idx="3">
                  <c:v>-0.83607681150384805</c:v>
                </c:pt>
                <c:pt idx="4">
                  <c:v>-0.76216946905046923</c:v>
                </c:pt>
                <c:pt idx="5">
                  <c:v>-0.94693782518391634</c:v>
                </c:pt>
                <c:pt idx="6">
                  <c:v>-0.87303048273053752</c:v>
                </c:pt>
                <c:pt idx="7">
                  <c:v>-0.76216946905046923</c:v>
                </c:pt>
                <c:pt idx="8">
                  <c:v>-0.39263275678357507</c:v>
                </c:pt>
                <c:pt idx="9">
                  <c:v>-0.24249999999999999</c:v>
                </c:pt>
                <c:pt idx="10">
                  <c:v>-0.41110959239691974</c:v>
                </c:pt>
                <c:pt idx="11">
                  <c:v>-0.37415592117023033</c:v>
                </c:pt>
                <c:pt idx="12">
                  <c:v>-0.20786440065012796</c:v>
                </c:pt>
                <c:pt idx="13">
                  <c:v>-4.1572880130025594E-2</c:v>
                </c:pt>
                <c:pt idx="14">
                  <c:v>0.21710281845680032</c:v>
                </c:pt>
                <c:pt idx="15">
                  <c:v>0.32796383213686858</c:v>
                </c:pt>
                <c:pt idx="16">
                  <c:v>0.56816269511034978</c:v>
                </c:pt>
                <c:pt idx="17">
                  <c:v>0.80836155808383103</c:v>
                </c:pt>
                <c:pt idx="18">
                  <c:v>1.2333287771907593</c:v>
                </c:pt>
                <c:pt idx="19">
                  <c:v>1.3072361196441382</c:v>
                </c:pt>
                <c:pt idx="20">
                  <c:v>2.45279992767151</c:v>
                </c:pt>
              </c:numCache>
            </c:numRef>
          </c:yVal>
        </c:ser>
        <c:ser>
          <c:idx val="1"/>
          <c:order val="1"/>
          <c:tx>
            <c:v>RC=f(NC)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vbmax!$N$3:$N$23</c:f>
              <c:numCache>
                <c:formatCode>0.00</c:formatCode>
                <c:ptCount val="21"/>
                <c:pt idx="0">
                  <c:v>-0.73880944291351214</c:v>
                </c:pt>
                <c:pt idx="1">
                  <c:v>-0.87504106854758845</c:v>
                </c:pt>
                <c:pt idx="2">
                  <c:v>-0.2587762338305194</c:v>
                </c:pt>
                <c:pt idx="3">
                  <c:v>-0.27325123802475981</c:v>
                </c:pt>
                <c:pt idx="4">
                  <c:v>0.13852258065817302</c:v>
                </c:pt>
                <c:pt idx="5">
                  <c:v>-0.11985013785275953</c:v>
                </c:pt>
                <c:pt idx="6">
                  <c:v>-1.2453530801425658</c:v>
                </c:pt>
                <c:pt idx="7">
                  <c:v>-0.36511949126313825</c:v>
                </c:pt>
                <c:pt idx="8">
                  <c:v>-0.49397207567726398</c:v>
                </c:pt>
                <c:pt idx="9">
                  <c:v>-0.4469085970601917</c:v>
                </c:pt>
                <c:pt idx="10">
                  <c:v>-0.82259775568365479</c:v>
                </c:pt>
                <c:pt idx="11">
                  <c:v>-0.57048426770192318</c:v>
                </c:pt>
                <c:pt idx="12">
                  <c:v>-0.91302425957077848</c:v>
                </c:pt>
                <c:pt idx="13">
                  <c:v>0.93328618002296038</c:v>
                </c:pt>
                <c:pt idx="14">
                  <c:v>0.48873865070431816</c:v>
                </c:pt>
                <c:pt idx="15">
                  <c:v>-3.8336465140027531E-3</c:v>
                </c:pt>
                <c:pt idx="16">
                  <c:v>0.12009652059874754</c:v>
                </c:pt>
                <c:pt idx="17">
                  <c:v>2.4198337866911002E-2</c:v>
                </c:pt>
                <c:pt idx="18">
                  <c:v>0.96185396531349698</c:v>
                </c:pt>
                <c:pt idx="19">
                  <c:v>0.76689002835898767</c:v>
                </c:pt>
                <c:pt idx="20">
                  <c:v>1.7690267976229632</c:v>
                </c:pt>
              </c:numCache>
            </c:numRef>
          </c:yVal>
        </c:ser>
        <c:axId val="110842240"/>
        <c:axId val="110843776"/>
      </c:scatterChart>
      <c:valAx>
        <c:axId val="1108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0843776"/>
        <c:crosses val="autoZero"/>
        <c:crossBetween val="midCat"/>
      </c:valAx>
      <c:valAx>
        <c:axId val="110843776"/>
        <c:scaling>
          <c:orientation val="minMax"/>
        </c:scaling>
        <c:axPos val="l"/>
        <c:majorGridlines/>
        <c:numFmt formatCode="0.00" sourceLinked="1"/>
        <c:tickLblPos val="nextTo"/>
        <c:crossAx val="110842240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4" l="0.70000000000000062" r="0.70000000000000062" t="0.750000000000004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(résultats!$E$7,résultats!$E$10,résultats!$E$13,résultats!$E$16,résultats!$E$19,résultats!$E$22,résultats!$E$25,résultats!$E$28,résultats!$E$31,résultats!$E$34,résultats!$E$37,résultats!$E$40,résultats!$E$43,résultats!$E$46,résultats!$E$49)</c:f>
              <c:numCache>
                <c:formatCode>0.00</c:formatCode>
                <c:ptCount val="15"/>
                <c:pt idx="0">
                  <c:v>383.19</c:v>
                </c:pt>
                <c:pt idx="1">
                  <c:v>355.14</c:v>
                </c:pt>
                <c:pt idx="2">
                  <c:v>376.67</c:v>
                </c:pt>
                <c:pt idx="3">
                  <c:v>373.15</c:v>
                </c:pt>
                <c:pt idx="4">
                  <c:v>362.95</c:v>
                </c:pt>
                <c:pt idx="5">
                  <c:v>358.71</c:v>
                </c:pt>
                <c:pt idx="6">
                  <c:v>360.17</c:v>
                </c:pt>
                <c:pt idx="7">
                  <c:v>352.94</c:v>
                </c:pt>
                <c:pt idx="8">
                  <c:v>378.28</c:v>
                </c:pt>
                <c:pt idx="9">
                  <c:v>376.56</c:v>
                </c:pt>
                <c:pt idx="10">
                  <c:v>213.54</c:v>
                </c:pt>
                <c:pt idx="11">
                  <c:v>366.85</c:v>
                </c:pt>
                <c:pt idx="12">
                  <c:v>379.18</c:v>
                </c:pt>
                <c:pt idx="13">
                  <c:v>355.31</c:v>
                </c:pt>
                <c:pt idx="14">
                  <c:v>382.22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(résultats!$E$8,résultats!$E$11,résultats!$E$14,résultats!$E$17,résultats!$E$20,résultats!$E$23,résultats!$E$26,résultats!$E$29,résultats!$E$32,résultats!$E$35,résultats!$E$38,résultats!$E$41,résultats!$E$44,résultats!$E$47,résultats!$E$50,résultats!$E$52)</c:f>
              <c:numCache>
                <c:formatCode>0.00</c:formatCode>
                <c:ptCount val="16"/>
                <c:pt idx="0">
                  <c:v>362.63</c:v>
                </c:pt>
                <c:pt idx="1">
                  <c:v>418.09</c:v>
                </c:pt>
                <c:pt idx="2">
                  <c:v>379.27</c:v>
                </c:pt>
                <c:pt idx="3">
                  <c:v>372.82</c:v>
                </c:pt>
                <c:pt idx="4">
                  <c:v>362.8</c:v>
                </c:pt>
                <c:pt idx="5">
                  <c:v>372.97</c:v>
                </c:pt>
                <c:pt idx="6">
                  <c:v>355.23</c:v>
                </c:pt>
                <c:pt idx="7">
                  <c:v>366.15</c:v>
                </c:pt>
                <c:pt idx="8">
                  <c:v>361.18</c:v>
                </c:pt>
                <c:pt idx="9">
                  <c:v>363.48</c:v>
                </c:pt>
                <c:pt idx="10">
                  <c:v>351.99</c:v>
                </c:pt>
                <c:pt idx="11">
                  <c:v>376.23</c:v>
                </c:pt>
                <c:pt idx="12">
                  <c:v>359.64</c:v>
                </c:pt>
                <c:pt idx="13">
                  <c:v>354.73</c:v>
                </c:pt>
                <c:pt idx="14">
                  <c:v>352.39</c:v>
                </c:pt>
                <c:pt idx="15">
                  <c:v>327.27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(résultats!$E$9,résultats!$E$12,résultats!$E$15,résultats!$E$18,résultats!$E$21,résultats!$E$24,résultats!$E$27,résultats!$E$30,résultats!$E$33,résultats!$E$36,résultats!$E$39,résultats!$E$42,résultats!$E$45,résultats!$E$48,résultats!$E$51,résultats!$E$53:$E$58)</c:f>
              <c:numCache>
                <c:formatCode>0.00</c:formatCode>
                <c:ptCount val="21"/>
                <c:pt idx="0">
                  <c:v>370.48</c:v>
                </c:pt>
                <c:pt idx="1">
                  <c:v>393.26</c:v>
                </c:pt>
                <c:pt idx="2">
                  <c:v>389.46</c:v>
                </c:pt>
                <c:pt idx="3">
                  <c:v>391.44</c:v>
                </c:pt>
                <c:pt idx="4">
                  <c:v>417.85</c:v>
                </c:pt>
                <c:pt idx="5">
                  <c:v>373.72</c:v>
                </c:pt>
                <c:pt idx="6">
                  <c:v>346.19</c:v>
                </c:pt>
                <c:pt idx="7">
                  <c:v>382.45</c:v>
                </c:pt>
                <c:pt idx="8">
                  <c:v>369.22</c:v>
                </c:pt>
                <c:pt idx="9">
                  <c:v>360.76</c:v>
                </c:pt>
                <c:pt idx="10">
                  <c:v>356.03</c:v>
                </c:pt>
                <c:pt idx="11">
                  <c:v>357.38</c:v>
                </c:pt>
                <c:pt idx="12">
                  <c:v>352.74</c:v>
                </c:pt>
                <c:pt idx="13">
                  <c:v>448.89</c:v>
                </c:pt>
                <c:pt idx="14">
                  <c:v>430.29</c:v>
                </c:pt>
                <c:pt idx="15">
                  <c:v>361.11</c:v>
                </c:pt>
                <c:pt idx="16">
                  <c:v>364.74</c:v>
                </c:pt>
                <c:pt idx="17">
                  <c:v>350.63</c:v>
                </c:pt>
                <c:pt idx="18">
                  <c:v>370.11</c:v>
                </c:pt>
                <c:pt idx="19">
                  <c:v>346.89</c:v>
                </c:pt>
                <c:pt idx="20">
                  <c:v>328.71</c:v>
                </c:pt>
              </c:numCache>
            </c:numRef>
          </c:yVal>
        </c:ser>
        <c:axId val="111028480"/>
        <c:axId val="111038464"/>
      </c:scatterChart>
      <c:valAx>
        <c:axId val="11102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1038464"/>
        <c:crosses val="autoZero"/>
        <c:crossBetween val="midCat"/>
      </c:valAx>
      <c:valAx>
        <c:axId val="111038464"/>
        <c:scaling>
          <c:orientation val="minMax"/>
        </c:scaling>
        <c:axPos val="l"/>
        <c:majorGridlines/>
        <c:numFmt formatCode="0.00" sourceLinked="1"/>
        <c:tickLblPos val="nextTo"/>
        <c:crossAx val="111028480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4" l="0.70000000000000062" r="0.70000000000000062" t="0.750000000000004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(résultats!$M$7,résultats!$M$10,résultats!$M$13,résultats!$M$16,résultats!$M$19,résultats!$M$22,résultats!$M$25,résultats!$M$28,résultats!$M$31,résultats!$M$34,résultats!$M$37,résultats!$M$40,résultats!$M$43,résultats!$M$46,résultats!$M$49)</c:f>
              <c:numCache>
                <c:formatCode>0.00</c:formatCode>
                <c:ptCount val="15"/>
                <c:pt idx="0">
                  <c:v>587.54</c:v>
                </c:pt>
                <c:pt idx="1">
                  <c:v>525.36</c:v>
                </c:pt>
                <c:pt idx="2">
                  <c:v>551.6</c:v>
                </c:pt>
                <c:pt idx="3">
                  <c:v>551.6</c:v>
                </c:pt>
                <c:pt idx="4">
                  <c:v>543.13</c:v>
                </c:pt>
                <c:pt idx="5">
                  <c:v>539.64</c:v>
                </c:pt>
                <c:pt idx="6">
                  <c:v>539.59</c:v>
                </c:pt>
                <c:pt idx="7">
                  <c:v>542.29999999999995</c:v>
                </c:pt>
                <c:pt idx="8">
                  <c:v>572.66</c:v>
                </c:pt>
                <c:pt idx="9">
                  <c:v>578.67999999999995</c:v>
                </c:pt>
                <c:pt idx="10">
                  <c:v>577.46</c:v>
                </c:pt>
                <c:pt idx="11">
                  <c:v>649.65</c:v>
                </c:pt>
                <c:pt idx="12">
                  <c:v>637.09</c:v>
                </c:pt>
                <c:pt idx="13">
                  <c:v>634.51</c:v>
                </c:pt>
                <c:pt idx="14">
                  <c:v>692.28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(résultats!$M$8,résultats!$M$11,résultats!$M$14,résultats!$M$17,résultats!$M$20,résultats!$M$23,résultats!$M$26,résultats!$M$29,résultats!$M$32,résultats!$M$35,résultats!$M$38,résultats!$M$41,résultats!$M$44,résultats!$M$47,résultats!$M$50,résultats!$M$52)</c:f>
              <c:numCache>
                <c:formatCode>0.00</c:formatCode>
                <c:ptCount val="16"/>
                <c:pt idx="0">
                  <c:v>587.52</c:v>
                </c:pt>
                <c:pt idx="1">
                  <c:v>635.96</c:v>
                </c:pt>
                <c:pt idx="2">
                  <c:v>615.28</c:v>
                </c:pt>
                <c:pt idx="3">
                  <c:v>623.92999999999995</c:v>
                </c:pt>
                <c:pt idx="4">
                  <c:v>605.41999999999996</c:v>
                </c:pt>
                <c:pt idx="5">
                  <c:v>585.41999999999996</c:v>
                </c:pt>
                <c:pt idx="6">
                  <c:v>616.6</c:v>
                </c:pt>
                <c:pt idx="7">
                  <c:v>636.22</c:v>
                </c:pt>
                <c:pt idx="8">
                  <c:v>649.97</c:v>
                </c:pt>
                <c:pt idx="9">
                  <c:v>681.5</c:v>
                </c:pt>
                <c:pt idx="10">
                  <c:v>656.23</c:v>
                </c:pt>
                <c:pt idx="11">
                  <c:v>676.29</c:v>
                </c:pt>
                <c:pt idx="12">
                  <c:v>784.66</c:v>
                </c:pt>
                <c:pt idx="13">
                  <c:v>749.87</c:v>
                </c:pt>
                <c:pt idx="14">
                  <c:v>820.99</c:v>
                </c:pt>
                <c:pt idx="15">
                  <c:v>913.03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(résultats!$M$9,résultats!$M$12,résultats!$M$15,résultats!$M$18,résultats!$M$21,résultats!$M$24,résultats!$M$27,résultats!$M$30,résultats!$M$33,résultats!$M$36,résultats!$M$39,résultats!$M$42,résultats!$M$45,résultats!$M$48,résultats!$M$51,résultats!$M$53:$M$58)</c:f>
              <c:numCache>
                <c:formatCode>0.00</c:formatCode>
                <c:ptCount val="21"/>
                <c:pt idx="0">
                  <c:v>590.37</c:v>
                </c:pt>
                <c:pt idx="1">
                  <c:v>596.1</c:v>
                </c:pt>
                <c:pt idx="2">
                  <c:v>637.59</c:v>
                </c:pt>
                <c:pt idx="3">
                  <c:v>637.01</c:v>
                </c:pt>
                <c:pt idx="4">
                  <c:v>674.24</c:v>
                </c:pt>
                <c:pt idx="5">
                  <c:v>651.02</c:v>
                </c:pt>
                <c:pt idx="6">
                  <c:v>559.97</c:v>
                </c:pt>
                <c:pt idx="7">
                  <c:v>627.16</c:v>
                </c:pt>
                <c:pt idx="8">
                  <c:v>631.28</c:v>
                </c:pt>
                <c:pt idx="9">
                  <c:v>622.15</c:v>
                </c:pt>
                <c:pt idx="10">
                  <c:v>603.94000000000005</c:v>
                </c:pt>
                <c:pt idx="11">
                  <c:v>623.21</c:v>
                </c:pt>
                <c:pt idx="12">
                  <c:v>594.54</c:v>
                </c:pt>
                <c:pt idx="13">
                  <c:v>748.72</c:v>
                </c:pt>
                <c:pt idx="14">
                  <c:v>728.12</c:v>
                </c:pt>
                <c:pt idx="15">
                  <c:v>684.56</c:v>
                </c:pt>
                <c:pt idx="16">
                  <c:v>704.6</c:v>
                </c:pt>
                <c:pt idx="17">
                  <c:v>701.38</c:v>
                </c:pt>
                <c:pt idx="18">
                  <c:v>776.01</c:v>
                </c:pt>
                <c:pt idx="19">
                  <c:v>782.91</c:v>
                </c:pt>
                <c:pt idx="20">
                  <c:v>874.49</c:v>
                </c:pt>
              </c:numCache>
            </c:numRef>
          </c:yVal>
        </c:ser>
        <c:axId val="111067904"/>
        <c:axId val="111069440"/>
      </c:scatterChart>
      <c:valAx>
        <c:axId val="11106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1069440"/>
        <c:crosses val="autoZero"/>
        <c:crossBetween val="midCat"/>
      </c:valAx>
      <c:valAx>
        <c:axId val="111069440"/>
        <c:scaling>
          <c:orientation val="minMax"/>
        </c:scaling>
        <c:axPos val="l"/>
        <c:majorGridlines/>
        <c:numFmt formatCode="0.00" sourceLinked="1"/>
        <c:tickLblPos val="nextTo"/>
        <c:crossAx val="11106790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422" l="0.70000000000000062" r="0.70000000000000062" t="0.75000000000000422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(résultats!$I$7,résultats!$I$10,résultats!$I$13,résultats!$I$16,résultats!$I$19,résultats!$I$22,résultats!$I$25,résultats!$I$28,résultats!$I$31,résultats!$I$34,résultats!$I$37,résultats!$I$40,résultats!$I$43,résultats!$I$46,résultats!$I$49)</c:f>
              <c:numCache>
                <c:formatCode>0.00</c:formatCode>
                <c:ptCount val="15"/>
                <c:pt idx="0">
                  <c:v>682.28</c:v>
                </c:pt>
                <c:pt idx="1">
                  <c:v>618</c:v>
                </c:pt>
                <c:pt idx="2">
                  <c:v>653.23</c:v>
                </c:pt>
                <c:pt idx="3">
                  <c:v>650.46</c:v>
                </c:pt>
                <c:pt idx="4">
                  <c:v>638</c:v>
                </c:pt>
                <c:pt idx="5">
                  <c:v>632.35</c:v>
                </c:pt>
                <c:pt idx="6">
                  <c:v>634.35</c:v>
                </c:pt>
                <c:pt idx="7">
                  <c:v>631.92999999999995</c:v>
                </c:pt>
                <c:pt idx="8">
                  <c:v>672.04</c:v>
                </c:pt>
                <c:pt idx="9">
                  <c:v>674.85</c:v>
                </c:pt>
                <c:pt idx="10">
                  <c:v>584.47</c:v>
                </c:pt>
                <c:pt idx="11">
                  <c:v>724.1</c:v>
                </c:pt>
                <c:pt idx="12">
                  <c:v>725.15</c:v>
                </c:pt>
                <c:pt idx="13">
                  <c:v>713.42</c:v>
                </c:pt>
                <c:pt idx="14">
                  <c:v>778.77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(résultats!$I$8,résultats!$I$11,résultats!$I$14,résultats!$I$17,résultats!$I$20,résultats!$I$23,résultats!$I$26,résultats!$I$29,résultats!$I$32,résultats!$I$35,résultats!$I$38,résultats!$I$41,résultats!$I$44,résultats!$I$47,résultats!$I$50,résultats!$I$52)</c:f>
              <c:numCache>
                <c:formatCode>0.00</c:formatCode>
                <c:ptCount val="16"/>
                <c:pt idx="0">
                  <c:v>675</c:v>
                </c:pt>
                <c:pt idx="1">
                  <c:v>743.6</c:v>
                </c:pt>
                <c:pt idx="2">
                  <c:v>708.21</c:v>
                </c:pt>
                <c:pt idx="3">
                  <c:v>711.69</c:v>
                </c:pt>
                <c:pt idx="4">
                  <c:v>691.7</c:v>
                </c:pt>
                <c:pt idx="5">
                  <c:v>685.17</c:v>
                </c:pt>
                <c:pt idx="6">
                  <c:v>699.24</c:v>
                </c:pt>
                <c:pt idx="7">
                  <c:v>721.41</c:v>
                </c:pt>
                <c:pt idx="8">
                  <c:v>730.79</c:v>
                </c:pt>
                <c:pt idx="9">
                  <c:v>756.85</c:v>
                </c:pt>
                <c:pt idx="10">
                  <c:v>732.3</c:v>
                </c:pt>
                <c:pt idx="11">
                  <c:v>766.59</c:v>
                </c:pt>
                <c:pt idx="12">
                  <c:v>845.07</c:v>
                </c:pt>
                <c:pt idx="13">
                  <c:v>818.02</c:v>
                </c:pt>
                <c:pt idx="14">
                  <c:v>882.29</c:v>
                </c:pt>
                <c:pt idx="15">
                  <c:v>959.24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(résultats!$I$9,résultats!$I$12,résultats!$I$15,résultats!$I$18,résultats!$I$21,résultats!$I$24,résultats!$I$27,résultats!$I$30,résultats!$I$33,résultats!$I$36,résultats!$I$39,résultats!$I$42,résultats!$I$45,résultats!$I$48,résultats!$I$51,résultats!$I$53:$I$58)</c:f>
              <c:numCache>
                <c:formatCode>0.00</c:formatCode>
                <c:ptCount val="21"/>
                <c:pt idx="0">
                  <c:v>681.55</c:v>
                </c:pt>
                <c:pt idx="1">
                  <c:v>703.83</c:v>
                </c:pt>
                <c:pt idx="2">
                  <c:v>730.22</c:v>
                </c:pt>
                <c:pt idx="3">
                  <c:v>730.28</c:v>
                </c:pt>
                <c:pt idx="4">
                  <c:v>773.17</c:v>
                </c:pt>
                <c:pt idx="5">
                  <c:v>729.25</c:v>
                </c:pt>
                <c:pt idx="6">
                  <c:v>645.01</c:v>
                </c:pt>
                <c:pt idx="7">
                  <c:v>718.05</c:v>
                </c:pt>
                <c:pt idx="8">
                  <c:v>716.63</c:v>
                </c:pt>
                <c:pt idx="9">
                  <c:v>703.22</c:v>
                </c:pt>
                <c:pt idx="10">
                  <c:v>688.41</c:v>
                </c:pt>
                <c:pt idx="11">
                  <c:v>704.06</c:v>
                </c:pt>
                <c:pt idx="12">
                  <c:v>678.11</c:v>
                </c:pt>
                <c:pt idx="13">
                  <c:v>850.72</c:v>
                </c:pt>
                <c:pt idx="14">
                  <c:v>882.39</c:v>
                </c:pt>
                <c:pt idx="15">
                  <c:v>759.24</c:v>
                </c:pt>
                <c:pt idx="16">
                  <c:v>780.68</c:v>
                </c:pt>
                <c:pt idx="17">
                  <c:v>772.68</c:v>
                </c:pt>
                <c:pt idx="18">
                  <c:v>845.88</c:v>
                </c:pt>
                <c:pt idx="19">
                  <c:v>846.4</c:v>
                </c:pt>
                <c:pt idx="20">
                  <c:v>921.68</c:v>
                </c:pt>
              </c:numCache>
            </c:numRef>
          </c:yVal>
        </c:ser>
        <c:axId val="110906368"/>
        <c:axId val="110928640"/>
      </c:scatterChart>
      <c:valAx>
        <c:axId val="11090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0928640"/>
        <c:crosses val="autoZero"/>
        <c:crossBetween val="midCat"/>
      </c:valAx>
      <c:valAx>
        <c:axId val="110928640"/>
        <c:scaling>
          <c:orientation val="minMax"/>
        </c:scaling>
        <c:axPos val="l"/>
        <c:majorGridlines/>
        <c:numFmt formatCode="0.00" sourceLinked="1"/>
        <c:tickLblPos val="nextTo"/>
        <c:crossAx val="110906368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444" l="0.70000000000000062" r="0.70000000000000062" t="0.75000000000000444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(résultats!$G$7,résultats!$G$10,résultats!$G$13,résultats!$G$16,résultats!$G$19,résultats!$G$22,résultats!$G$25,résultats!$G$28,résultats!$G$31,résultats!$G$34,résultats!$G$37,résultats!$G$40,résultats!$G$43,résultats!$G$46,résultats!$G$49)</c:f>
              <c:numCache>
                <c:formatCode>0.00</c:formatCode>
                <c:ptCount val="15"/>
                <c:pt idx="0">
                  <c:v>557.23</c:v>
                </c:pt>
                <c:pt idx="1">
                  <c:v>499.01</c:v>
                </c:pt>
                <c:pt idx="2">
                  <c:v>525.96</c:v>
                </c:pt>
                <c:pt idx="3">
                  <c:v>525.28</c:v>
                </c:pt>
                <c:pt idx="4">
                  <c:v>518.20000000000005</c:v>
                </c:pt>
                <c:pt idx="5">
                  <c:v>514.17999999999995</c:v>
                </c:pt>
                <c:pt idx="6">
                  <c:v>514.62</c:v>
                </c:pt>
                <c:pt idx="7">
                  <c:v>517.83000000000004</c:v>
                </c:pt>
                <c:pt idx="8">
                  <c:v>546.62</c:v>
                </c:pt>
                <c:pt idx="9">
                  <c:v>552.85</c:v>
                </c:pt>
                <c:pt idx="10">
                  <c:v>524.1</c:v>
                </c:pt>
                <c:pt idx="11">
                  <c:v>613.79999999999995</c:v>
                </c:pt>
                <c:pt idx="12">
                  <c:v>608.73</c:v>
                </c:pt>
                <c:pt idx="13">
                  <c:v>607.52</c:v>
                </c:pt>
                <c:pt idx="14">
                  <c:v>661.92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(résultats!$G$8,résultats!$G$11,résultats!$G$14,résultats!$G$17,résultats!$G$20,résultats!$G$23,résultats!$G$26,résultats!$G$29,résultats!$G$32,résultats!$G$35,résultats!$G$38,résultats!$G$41,résultats!$G$44,résultats!$G$47,résultats!$G$50,résultats!$G$52)</c:f>
              <c:numCache>
                <c:formatCode>0.00</c:formatCode>
                <c:ptCount val="16"/>
                <c:pt idx="0">
                  <c:v>561.36</c:v>
                </c:pt>
                <c:pt idx="1">
                  <c:v>608.46</c:v>
                </c:pt>
                <c:pt idx="2">
                  <c:v>590</c:v>
                </c:pt>
                <c:pt idx="3">
                  <c:v>598.20000000000005</c:v>
                </c:pt>
                <c:pt idx="4">
                  <c:v>581.54999999999995</c:v>
                </c:pt>
                <c:pt idx="5">
                  <c:v>566.73</c:v>
                </c:pt>
                <c:pt idx="6">
                  <c:v>592.23</c:v>
                </c:pt>
                <c:pt idx="7">
                  <c:v>611.41</c:v>
                </c:pt>
                <c:pt idx="8">
                  <c:v>625.19000000000005</c:v>
                </c:pt>
                <c:pt idx="9">
                  <c:v>654.03</c:v>
                </c:pt>
                <c:pt idx="10">
                  <c:v>632.04999999999995</c:v>
                </c:pt>
                <c:pt idx="11">
                  <c:v>656.68</c:v>
                </c:pt>
                <c:pt idx="12">
                  <c:v>748.58</c:v>
                </c:pt>
                <c:pt idx="13">
                  <c:v>722.03</c:v>
                </c:pt>
                <c:pt idx="14">
                  <c:v>790.02</c:v>
                </c:pt>
                <c:pt idx="15">
                  <c:v>878.89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(résultats!$G$9,résultats!$G$12,résultats!$G$15,résultats!$G$18,résultats!$G$21,résultats!$G$24,résultats!$G$27,résultats!$G$30,résultats!$G$33,résultats!$G$36,résultats!$G$39,résultats!$G$42,résultats!$G$45,résultats!$G$48,résultats!$G$51,résultats!$G$53:$G$58)</c:f>
              <c:numCache>
                <c:formatCode>0.00</c:formatCode>
                <c:ptCount val="21"/>
                <c:pt idx="0">
                  <c:v>564.16</c:v>
                </c:pt>
                <c:pt idx="1">
                  <c:v>576.45000000000005</c:v>
                </c:pt>
                <c:pt idx="2">
                  <c:v>609.62</c:v>
                </c:pt>
                <c:pt idx="3">
                  <c:v>609.16</c:v>
                </c:pt>
                <c:pt idx="4">
                  <c:v>643.67999999999995</c:v>
                </c:pt>
                <c:pt idx="5">
                  <c:v>615.53</c:v>
                </c:pt>
                <c:pt idx="6">
                  <c:v>535.35</c:v>
                </c:pt>
                <c:pt idx="7">
                  <c:v>598.35</c:v>
                </c:pt>
                <c:pt idx="8">
                  <c:v>605.20000000000005</c:v>
                </c:pt>
                <c:pt idx="9">
                  <c:v>594.42999999999995</c:v>
                </c:pt>
                <c:pt idx="10">
                  <c:v>579.24</c:v>
                </c:pt>
                <c:pt idx="11">
                  <c:v>595.78</c:v>
                </c:pt>
                <c:pt idx="12">
                  <c:v>570.23</c:v>
                </c:pt>
                <c:pt idx="13">
                  <c:v>714.55</c:v>
                </c:pt>
                <c:pt idx="14">
                  <c:v>699.2</c:v>
                </c:pt>
                <c:pt idx="15">
                  <c:v>657.26</c:v>
                </c:pt>
                <c:pt idx="16">
                  <c:v>677.61</c:v>
                </c:pt>
                <c:pt idx="17">
                  <c:v>675.57</c:v>
                </c:pt>
                <c:pt idx="18">
                  <c:v>743.12</c:v>
                </c:pt>
                <c:pt idx="19">
                  <c:v>755.39</c:v>
                </c:pt>
                <c:pt idx="20">
                  <c:v>840.8</c:v>
                </c:pt>
              </c:numCache>
            </c:numRef>
          </c:yVal>
        </c:ser>
        <c:axId val="111429120"/>
        <c:axId val="111430656"/>
      </c:scatterChart>
      <c:valAx>
        <c:axId val="11142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1430656"/>
        <c:crosses val="autoZero"/>
        <c:crossBetween val="midCat"/>
      </c:valAx>
      <c:valAx>
        <c:axId val="111430656"/>
        <c:scaling>
          <c:orientation val="minMax"/>
        </c:scaling>
        <c:axPos val="l"/>
        <c:majorGridlines/>
        <c:numFmt formatCode="0.00" sourceLinked="1"/>
        <c:tickLblPos val="nextTo"/>
        <c:crossAx val="111429120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466" l="0.70000000000000062" r="0.70000000000000062" t="0.75000000000000466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(résultats!$K$7,résultats!$K$13,résultats!$K$16,résultats!$K$19,résultats!$K$22,résultats!$K$25,résultats!$K$28,résultats!$K$31,résultats!$K$34,résultats!$K$37,résultats!$K$40,résultats!$K$43,résultats!$K$46,résultats!$K$49)</c:f>
              <c:numCache>
                <c:formatCode>0.00</c:formatCode>
                <c:ptCount val="14"/>
                <c:pt idx="0">
                  <c:v>-173.65</c:v>
                </c:pt>
                <c:pt idx="1">
                  <c:v>-160.55000000000001</c:v>
                </c:pt>
                <c:pt idx="2">
                  <c:v>-161.19999999999999</c:v>
                </c:pt>
                <c:pt idx="3">
                  <c:v>-157.82</c:v>
                </c:pt>
                <c:pt idx="4">
                  <c:v>-156.96</c:v>
                </c:pt>
                <c:pt idx="5">
                  <c:v>-156.47999999999999</c:v>
                </c:pt>
                <c:pt idx="6">
                  <c:v>-155.71</c:v>
                </c:pt>
                <c:pt idx="7">
                  <c:v>-166.33</c:v>
                </c:pt>
                <c:pt idx="8">
                  <c:v>-163.81</c:v>
                </c:pt>
                <c:pt idx="9">
                  <c:v>-230.52</c:v>
                </c:pt>
                <c:pt idx="10">
                  <c:v>-206.72</c:v>
                </c:pt>
                <c:pt idx="11">
                  <c:v>-180.19</c:v>
                </c:pt>
                <c:pt idx="12">
                  <c:v>-176.64</c:v>
                </c:pt>
                <c:pt idx="13">
                  <c:v>-190.06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(résultats!$K$8,résultats!$K$11,résultats!$K$14,résultats!$K$17,résultats!$K$20,résultats!$K$23,résultats!$K$26,résultats!$K$29,résultats!$K$32,résultats!$K$35,résultats!$K$38,résultats!$K$41,résultats!$K$44,résultats!$K$47,résultats!$K$50,résultats!$K$52)</c:f>
              <c:numCache>
                <c:formatCode>0.00</c:formatCode>
                <c:ptCount val="16"/>
                <c:pt idx="0">
                  <c:v>-168.47</c:v>
                </c:pt>
                <c:pt idx="1">
                  <c:v>-178.69</c:v>
                </c:pt>
                <c:pt idx="2">
                  <c:v>-170.41</c:v>
                </c:pt>
                <c:pt idx="3">
                  <c:v>-172.61</c:v>
                </c:pt>
                <c:pt idx="4">
                  <c:v>-163</c:v>
                </c:pt>
                <c:pt idx="5">
                  <c:v>-143.51</c:v>
                </c:pt>
                <c:pt idx="6">
                  <c:v>-166.17</c:v>
                </c:pt>
                <c:pt idx="7">
                  <c:v>-170.85</c:v>
                </c:pt>
                <c:pt idx="8">
                  <c:v>-172.64</c:v>
                </c:pt>
                <c:pt idx="9">
                  <c:v>-186.48</c:v>
                </c:pt>
                <c:pt idx="10">
                  <c:v>-170.6</c:v>
                </c:pt>
                <c:pt idx="11">
                  <c:v>-156.62</c:v>
                </c:pt>
                <c:pt idx="12">
                  <c:v>-222.12</c:v>
                </c:pt>
                <c:pt idx="13">
                  <c:v>-192.38</c:v>
                </c:pt>
                <c:pt idx="14">
                  <c:v>-208.07</c:v>
                </c:pt>
                <c:pt idx="15">
                  <c:v>-224.47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(résultats!$K$9,résultats!$K$12,résultats!$K$15,résultats!$K$18,résultats!$K$21,résultats!$K$24,résultats!$K$27,résultats!$K$30,résultats!$K$33,résultats!$K$36,résultats!$K$39,résultats!$K$42,résultats!$K$45,résultats!$K$48,résultats!$K$51,résultats!$K$53:$K$58)</c:f>
              <c:numCache>
                <c:formatCode>0.00</c:formatCode>
                <c:ptCount val="21"/>
                <c:pt idx="0">
                  <c:v>-169.35</c:v>
                </c:pt>
                <c:pt idx="1">
                  <c:v>-148.76</c:v>
                </c:pt>
                <c:pt idx="2">
                  <c:v>-182.78</c:v>
                </c:pt>
                <c:pt idx="3">
                  <c:v>-181.65</c:v>
                </c:pt>
                <c:pt idx="4">
                  <c:v>-193.8</c:v>
                </c:pt>
                <c:pt idx="5">
                  <c:v>-191.7</c:v>
                </c:pt>
                <c:pt idx="6">
                  <c:v>-145.19</c:v>
                </c:pt>
                <c:pt idx="7">
                  <c:v>-180.36</c:v>
                </c:pt>
                <c:pt idx="8">
                  <c:v>-167.97</c:v>
                </c:pt>
                <c:pt idx="9">
                  <c:v>-169.96</c:v>
                </c:pt>
                <c:pt idx="10">
                  <c:v>-155.84</c:v>
                </c:pt>
                <c:pt idx="11">
                  <c:v>-167.53</c:v>
                </c:pt>
                <c:pt idx="12">
                  <c:v>-153.72999999999999</c:v>
                </c:pt>
                <c:pt idx="13">
                  <c:v>-217.99</c:v>
                </c:pt>
                <c:pt idx="14">
                  <c:v>-191.92</c:v>
                </c:pt>
                <c:pt idx="15">
                  <c:v>-182.21</c:v>
                </c:pt>
                <c:pt idx="16">
                  <c:v>-180.58</c:v>
                </c:pt>
                <c:pt idx="17">
                  <c:v>-175.53</c:v>
                </c:pt>
                <c:pt idx="18">
                  <c:v>-213.8</c:v>
                </c:pt>
                <c:pt idx="19">
                  <c:v>-194.21</c:v>
                </c:pt>
                <c:pt idx="20">
                  <c:v>-232.11</c:v>
                </c:pt>
              </c:numCache>
            </c:numRef>
          </c:yVal>
        </c:ser>
        <c:axId val="111472640"/>
        <c:axId val="111474176"/>
      </c:scatterChart>
      <c:valAx>
        <c:axId val="11147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1474176"/>
        <c:crosses val="autoZero"/>
        <c:crossBetween val="midCat"/>
      </c:valAx>
      <c:valAx>
        <c:axId val="111474176"/>
        <c:scaling>
          <c:orientation val="minMax"/>
        </c:scaling>
        <c:axPos val="l"/>
        <c:majorGridlines/>
        <c:numFmt formatCode="0.00" sourceLinked="1"/>
        <c:tickLblPos val="nextTo"/>
        <c:crossAx val="111472640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(résultats!$O$7,résultats!$O$10,résultats!$O$13,résultats!$O$16,résultats!$O$19,résultats!$O$22,résultats!$O$25,résultats!$O$28,résultats!$O$31,résultats!$O$34,résultats!$O$37,résultats!$O$40,résultats!$O$43,résultats!$O$46,résultats!$O$49)</c:f>
              <c:numCache>
                <c:formatCode>0.00</c:formatCode>
                <c:ptCount val="15"/>
                <c:pt idx="0">
                  <c:v>123.81</c:v>
                </c:pt>
                <c:pt idx="1">
                  <c:v>108.48</c:v>
                </c:pt>
                <c:pt idx="2">
                  <c:v>113.98</c:v>
                </c:pt>
                <c:pt idx="3">
                  <c:v>114.29</c:v>
                </c:pt>
                <c:pt idx="4">
                  <c:v>115.33</c:v>
                </c:pt>
                <c:pt idx="5">
                  <c:v>114.68</c:v>
                </c:pt>
                <c:pt idx="6">
                  <c:v>114.78</c:v>
                </c:pt>
                <c:pt idx="7">
                  <c:v>119.9</c:v>
                </c:pt>
                <c:pt idx="8">
                  <c:v>123.3</c:v>
                </c:pt>
                <c:pt idx="9">
                  <c:v>129.71</c:v>
                </c:pt>
                <c:pt idx="10">
                  <c:v>122.03</c:v>
                </c:pt>
                <c:pt idx="11">
                  <c:v>145.02000000000001</c:v>
                </c:pt>
                <c:pt idx="12">
                  <c:v>155.06</c:v>
                </c:pt>
                <c:pt idx="13">
                  <c:v>164.77</c:v>
                </c:pt>
                <c:pt idx="14">
                  <c:v>182.81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(résultats!$O$8,résultats!$O$11,résultats!$O$14,résultats!$O$17,résultats!$O$20,résultats!$O$23,résultats!$O$26,résultats!$O$29,résultats!$O$32,résultats!$O$35,résultats!$O$38,résultats!$O$41,résultats!$O$44,résultats!$O$47,résultats!$O$50,résultats!$O$52)</c:f>
              <c:numCache>
                <c:formatCode>0.00</c:formatCode>
                <c:ptCount val="16"/>
                <c:pt idx="0">
                  <c:v>137.04</c:v>
                </c:pt>
                <c:pt idx="1">
                  <c:v>142.57</c:v>
                </c:pt>
                <c:pt idx="2">
                  <c:v>149.09</c:v>
                </c:pt>
                <c:pt idx="3">
                  <c:v>155.28</c:v>
                </c:pt>
                <c:pt idx="4">
                  <c:v>154.03</c:v>
                </c:pt>
                <c:pt idx="5">
                  <c:v>153.65</c:v>
                </c:pt>
                <c:pt idx="6">
                  <c:v>161.6</c:v>
                </c:pt>
                <c:pt idx="7">
                  <c:v>167.5</c:v>
                </c:pt>
                <c:pt idx="8">
                  <c:v>177.17</c:v>
                </c:pt>
                <c:pt idx="9">
                  <c:v>186.36</c:v>
                </c:pt>
                <c:pt idx="10">
                  <c:v>186.23</c:v>
                </c:pt>
                <c:pt idx="11">
                  <c:v>203.59</c:v>
                </c:pt>
                <c:pt idx="12">
                  <c:v>227.47</c:v>
                </c:pt>
                <c:pt idx="13">
                  <c:v>230.61</c:v>
                </c:pt>
                <c:pt idx="14">
                  <c:v>266.16000000000003</c:v>
                </c:pt>
                <c:pt idx="15">
                  <c:v>322.91000000000003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(résultats!$O$9,résultats!$O$12,résultats!$O$15,résultats!$O$18,résultats!$O$21,résultats!$O$24,résultats!$O$27,résultats!$O$30,résultats!$O$33,résultats!$O$36,résultats!$O$39,résultats!$O$42,résultats!$O$45,résultats!$O$48,résultats!$O$51,résultats!$O$53:$O$58)</c:f>
              <c:numCache>
                <c:formatCode>0.00</c:formatCode>
                <c:ptCount val="21"/>
                <c:pt idx="0">
                  <c:v>135.62</c:v>
                </c:pt>
                <c:pt idx="1">
                  <c:v>149.68</c:v>
                </c:pt>
                <c:pt idx="2">
                  <c:v>150.41999999999999</c:v>
                </c:pt>
                <c:pt idx="3">
                  <c:v>150.18</c:v>
                </c:pt>
                <c:pt idx="4">
                  <c:v>156.02000000000001</c:v>
                </c:pt>
                <c:pt idx="5">
                  <c:v>153.80000000000001</c:v>
                </c:pt>
                <c:pt idx="6">
                  <c:v>140.84</c:v>
                </c:pt>
                <c:pt idx="7">
                  <c:v>146.93</c:v>
                </c:pt>
                <c:pt idx="8">
                  <c:v>164.25</c:v>
                </c:pt>
                <c:pt idx="9">
                  <c:v>158.65</c:v>
                </c:pt>
                <c:pt idx="10">
                  <c:v>159.56</c:v>
                </c:pt>
                <c:pt idx="11">
                  <c:v>162.33000000000001</c:v>
                </c:pt>
                <c:pt idx="12">
                  <c:v>156.09</c:v>
                </c:pt>
                <c:pt idx="13">
                  <c:v>176.42</c:v>
                </c:pt>
                <c:pt idx="14">
                  <c:v>189.9</c:v>
                </c:pt>
                <c:pt idx="15">
                  <c:v>192.15</c:v>
                </c:pt>
                <c:pt idx="16">
                  <c:v>205.54</c:v>
                </c:pt>
                <c:pt idx="17">
                  <c:v>212.34</c:v>
                </c:pt>
                <c:pt idx="18">
                  <c:v>225.13</c:v>
                </c:pt>
                <c:pt idx="19">
                  <c:v>254.24</c:v>
                </c:pt>
                <c:pt idx="20">
                  <c:v>292.02</c:v>
                </c:pt>
              </c:numCache>
            </c:numRef>
          </c:yVal>
        </c:ser>
        <c:axId val="111511808"/>
        <c:axId val="111529984"/>
      </c:scatterChart>
      <c:valAx>
        <c:axId val="11151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1529984"/>
        <c:crosses val="autoZero"/>
        <c:crossBetween val="midCat"/>
      </c:valAx>
      <c:valAx>
        <c:axId val="111529984"/>
        <c:scaling>
          <c:orientation val="minMax"/>
        </c:scaling>
        <c:axPos val="l"/>
        <c:majorGridlines/>
        <c:numFmt formatCode="0.00" sourceLinked="1"/>
        <c:tickLblPos val="nextTo"/>
        <c:crossAx val="111511808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(résultats!$Q$7,résultats!$Q$10,résultats!$Q$13,résultats!$Q$16,résultats!$Q$19,résultats!$Q$22,résultats!$Q$25,résultats!$Q$28,résultats!$Q$31,résultats!$Q$34,résultats!$Q$37,résultats!$Q$40,résultats!$Q$43,résultats!$Q$46,résultats!$Q$49)</c:f>
              <c:numCache>
                <c:formatCode>0.00</c:formatCode>
                <c:ptCount val="15"/>
                <c:pt idx="0">
                  <c:v>707.71</c:v>
                </c:pt>
                <c:pt idx="1">
                  <c:v>640.03</c:v>
                </c:pt>
                <c:pt idx="2">
                  <c:v>674.63</c:v>
                </c:pt>
                <c:pt idx="3">
                  <c:v>672.4</c:v>
                </c:pt>
                <c:pt idx="4">
                  <c:v>658.81</c:v>
                </c:pt>
                <c:pt idx="5">
                  <c:v>653.65</c:v>
                </c:pt>
                <c:pt idx="6">
                  <c:v>655.14</c:v>
                </c:pt>
                <c:pt idx="7">
                  <c:v>652.49</c:v>
                </c:pt>
                <c:pt idx="8">
                  <c:v>693.88</c:v>
                </c:pt>
                <c:pt idx="9">
                  <c:v>696.57</c:v>
                </c:pt>
                <c:pt idx="10">
                  <c:v>634.71</c:v>
                </c:pt>
                <c:pt idx="11">
                  <c:v>755.21</c:v>
                </c:pt>
                <c:pt idx="12">
                  <c:v>749.66</c:v>
                </c:pt>
                <c:pt idx="13">
                  <c:v>736.9</c:v>
                </c:pt>
                <c:pt idx="14">
                  <c:v>804.34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(résultats!$Q$8,résultats!$Q$11,résultats!$Q$14,résultats!$Q$17,résultats!$Q$20,résultats!$Q$23,résultats!$Q$26,résultats!$Q$29,résultats!$Q$32,résultats!$Q$35,résultats!$Q$38,résultats!$Q$41,résultats!$Q$44,résultats!$Q$47,résultats!$Q$50,résultats!$Q$52)</c:f>
              <c:numCache>
                <c:formatCode>0.00</c:formatCode>
                <c:ptCount val="16"/>
                <c:pt idx="0">
                  <c:v>697.11</c:v>
                </c:pt>
                <c:pt idx="1">
                  <c:v>766.56</c:v>
                </c:pt>
                <c:pt idx="2">
                  <c:v>729.61</c:v>
                </c:pt>
                <c:pt idx="3">
                  <c:v>733.69</c:v>
                </c:pt>
                <c:pt idx="4">
                  <c:v>712.1</c:v>
                </c:pt>
                <c:pt idx="5">
                  <c:v>700.89</c:v>
                </c:pt>
                <c:pt idx="6">
                  <c:v>720.11</c:v>
                </c:pt>
                <c:pt idx="7">
                  <c:v>742.67</c:v>
                </c:pt>
                <c:pt idx="8">
                  <c:v>752.33</c:v>
                </c:pt>
                <c:pt idx="9">
                  <c:v>780.96</c:v>
                </c:pt>
                <c:pt idx="10">
                  <c:v>753.41</c:v>
                </c:pt>
                <c:pt idx="11">
                  <c:v>783.62</c:v>
                </c:pt>
                <c:pt idx="12">
                  <c:v>876.08</c:v>
                </c:pt>
                <c:pt idx="13">
                  <c:v>842.55</c:v>
                </c:pt>
                <c:pt idx="14">
                  <c:v>909.26</c:v>
                </c:pt>
                <c:pt idx="15">
                  <c:v>988.69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(résultats!$Q$9,résultats!$Q$12,résultats!$Q$15,résultats!$Q$18,résultats!$Q$21,résultats!$Q$24,résultats!$Q$27,résultats!$Q$30,résultats!$Q$33,résultats!$Q$36,résultats!$Q$39,résultats!$Q$42,résultats!$Q$45,résultats!$Q$48,résultats!$Q$51,résultats!$Q$53:$Q$58)</c:f>
              <c:numCache>
                <c:formatCode>0.00</c:formatCode>
                <c:ptCount val="21"/>
                <c:pt idx="0">
                  <c:v>703.79</c:v>
                </c:pt>
                <c:pt idx="1">
                  <c:v>720.2</c:v>
                </c:pt>
                <c:pt idx="2">
                  <c:v>753.95</c:v>
                </c:pt>
                <c:pt idx="3">
                  <c:v>753.93</c:v>
                </c:pt>
                <c:pt idx="4">
                  <c:v>799.15</c:v>
                </c:pt>
                <c:pt idx="5">
                  <c:v>758.98</c:v>
                </c:pt>
                <c:pt idx="6">
                  <c:v>665.16</c:v>
                </c:pt>
                <c:pt idx="7">
                  <c:v>742.17</c:v>
                </c:pt>
                <c:pt idx="8">
                  <c:v>739.2</c:v>
                </c:pt>
                <c:pt idx="9">
                  <c:v>727.08</c:v>
                </c:pt>
                <c:pt idx="10">
                  <c:v>709.51</c:v>
                </c:pt>
                <c:pt idx="11">
                  <c:v>727.74</c:v>
                </c:pt>
                <c:pt idx="12">
                  <c:v>699.12</c:v>
                </c:pt>
                <c:pt idx="13">
                  <c:v>880.01</c:v>
                </c:pt>
                <c:pt idx="14">
                  <c:v>852.51</c:v>
                </c:pt>
                <c:pt idx="15">
                  <c:v>783.36</c:v>
                </c:pt>
                <c:pt idx="16">
                  <c:v>804.71</c:v>
                </c:pt>
                <c:pt idx="17">
                  <c:v>795.71</c:v>
                </c:pt>
                <c:pt idx="18">
                  <c:v>874.71</c:v>
                </c:pt>
                <c:pt idx="19">
                  <c:v>871.15</c:v>
                </c:pt>
                <c:pt idx="20">
                  <c:v>952.82</c:v>
                </c:pt>
              </c:numCache>
            </c:numRef>
          </c:yVal>
        </c:ser>
        <c:axId val="112874240"/>
        <c:axId val="112875776"/>
      </c:scatterChart>
      <c:valAx>
        <c:axId val="11287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2875776"/>
        <c:crosses val="autoZero"/>
        <c:crossBetween val="midCat"/>
      </c:valAx>
      <c:valAx>
        <c:axId val="112875776"/>
        <c:scaling>
          <c:orientation val="minMax"/>
        </c:scaling>
        <c:axPos val="l"/>
        <c:majorGridlines/>
        <c:numFmt formatCode="0.00" sourceLinked="1"/>
        <c:tickLblPos val="nextTo"/>
        <c:crossAx val="112874240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(résultats!$S$7,résultats!$S$10,résultats!$S$13,résultats!$S$16,résultats!$S$19,résultats!$S$22,résultats!$S$25,résultats!$S$28,résultats!$S$31,résultats!$S$34,résultats!$S$37,résultats!$S$40,résultats!$S$43,résultats!$S$46,résultats!$S$49)</c:f>
              <c:numCache>
                <c:formatCode>0.00</c:formatCode>
                <c:ptCount val="15"/>
                <c:pt idx="0">
                  <c:v>79.73</c:v>
                </c:pt>
                <c:pt idx="1">
                  <c:v>79.91</c:v>
                </c:pt>
                <c:pt idx="2">
                  <c:v>79.489999999999995</c:v>
                </c:pt>
                <c:pt idx="3">
                  <c:v>76.84</c:v>
                </c:pt>
                <c:pt idx="4">
                  <c:v>79.510000000000005</c:v>
                </c:pt>
                <c:pt idx="5">
                  <c:v>79.790000000000006</c:v>
                </c:pt>
                <c:pt idx="6">
                  <c:v>77.33</c:v>
                </c:pt>
                <c:pt idx="7">
                  <c:v>77.84</c:v>
                </c:pt>
                <c:pt idx="8">
                  <c:v>78.11</c:v>
                </c:pt>
                <c:pt idx="9">
                  <c:v>77.47</c:v>
                </c:pt>
                <c:pt idx="10">
                  <c:v>78.959999999999994</c:v>
                </c:pt>
                <c:pt idx="11">
                  <c:v>79.430000000000007</c:v>
                </c:pt>
                <c:pt idx="12">
                  <c:v>76.98</c:v>
                </c:pt>
                <c:pt idx="13">
                  <c:v>76.89</c:v>
                </c:pt>
                <c:pt idx="14">
                  <c:v>74.7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(résultats!$S$8,résultats!$S$11,résultats!$S$14,résultats!$S$17,résultats!$S$20,résultats!$S$23,résultats!$S$26,résultats!$S$29,résultats!$S$32,résultats!$S$35,résultats!$S$38,résultats!$S$41,résultats!$S$44,résultats!$S$47,résultats!$S$50,résultats!$S$52)</c:f>
              <c:numCache>
                <c:formatCode>0.00</c:formatCode>
                <c:ptCount val="16"/>
                <c:pt idx="0">
                  <c:v>76.05</c:v>
                </c:pt>
                <c:pt idx="1">
                  <c:v>75.06</c:v>
                </c:pt>
                <c:pt idx="2">
                  <c:v>77.760000000000005</c:v>
                </c:pt>
                <c:pt idx="3">
                  <c:v>77.5</c:v>
                </c:pt>
                <c:pt idx="4">
                  <c:v>75.36</c:v>
                </c:pt>
                <c:pt idx="5">
                  <c:v>75.45</c:v>
                </c:pt>
                <c:pt idx="6">
                  <c:v>74.55</c:v>
                </c:pt>
                <c:pt idx="7">
                  <c:v>73.33</c:v>
                </c:pt>
                <c:pt idx="8">
                  <c:v>76.290000000000006</c:v>
                </c:pt>
                <c:pt idx="9">
                  <c:v>74.64</c:v>
                </c:pt>
                <c:pt idx="10">
                  <c:v>73.81</c:v>
                </c:pt>
                <c:pt idx="11">
                  <c:v>74.349999999999994</c:v>
                </c:pt>
                <c:pt idx="12">
                  <c:v>74.94</c:v>
                </c:pt>
                <c:pt idx="13">
                  <c:v>71.900000000000006</c:v>
                </c:pt>
                <c:pt idx="14">
                  <c:v>74.569999999999993</c:v>
                </c:pt>
                <c:pt idx="15">
                  <c:v>70.89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(résultats!$S$9,résultats!$S$12,résultats!$S$15,résultats!$S$18,résultats!$S$21,résultats!$S$24,résultats!$S$27,résultats!$S$30,résultats!$S$33,résultats!$S$36,résultats!$S$39,résultats!$S$42,résultats!$S$45,résultats!$S$48,résultats!$S$51,résultats!$S$53:$S$58)</c:f>
              <c:numCache>
                <c:formatCode>0.00</c:formatCode>
                <c:ptCount val="21"/>
                <c:pt idx="0">
                  <c:v>78.59</c:v>
                </c:pt>
                <c:pt idx="1">
                  <c:v>76.2</c:v>
                </c:pt>
                <c:pt idx="2">
                  <c:v>76.7</c:v>
                </c:pt>
                <c:pt idx="3">
                  <c:v>77.17</c:v>
                </c:pt>
                <c:pt idx="4">
                  <c:v>76.83</c:v>
                </c:pt>
                <c:pt idx="5">
                  <c:v>77.56</c:v>
                </c:pt>
                <c:pt idx="6">
                  <c:v>75.62</c:v>
                </c:pt>
                <c:pt idx="7">
                  <c:v>75.790000000000006</c:v>
                </c:pt>
                <c:pt idx="8">
                  <c:v>75.5</c:v>
                </c:pt>
                <c:pt idx="9">
                  <c:v>76.39</c:v>
                </c:pt>
                <c:pt idx="10">
                  <c:v>76.489999999999995</c:v>
                </c:pt>
                <c:pt idx="11">
                  <c:v>77.95</c:v>
                </c:pt>
                <c:pt idx="12">
                  <c:v>74.75</c:v>
                </c:pt>
                <c:pt idx="13">
                  <c:v>76.27</c:v>
                </c:pt>
                <c:pt idx="14">
                  <c:v>73.180000000000007</c:v>
                </c:pt>
                <c:pt idx="15">
                  <c:v>75.239999999999995</c:v>
                </c:pt>
                <c:pt idx="16">
                  <c:v>75.17</c:v>
                </c:pt>
                <c:pt idx="17">
                  <c:v>71.02</c:v>
                </c:pt>
                <c:pt idx="18">
                  <c:v>75.260000000000005</c:v>
                </c:pt>
                <c:pt idx="19">
                  <c:v>71.42</c:v>
                </c:pt>
                <c:pt idx="20">
                  <c:v>71.430000000000007</c:v>
                </c:pt>
              </c:numCache>
            </c:numRef>
          </c:yVal>
        </c:ser>
        <c:axId val="113085824"/>
        <c:axId val="113095808"/>
      </c:scatterChart>
      <c:valAx>
        <c:axId val="11308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3095808"/>
        <c:crosses val="autoZero"/>
        <c:crossBetween val="midCat"/>
      </c:valAx>
      <c:valAx>
        <c:axId val="113095808"/>
        <c:scaling>
          <c:orientation val="minMax"/>
          <c:max val="90"/>
          <c:min val="0"/>
        </c:scaling>
        <c:axPos val="l"/>
        <c:majorGridlines/>
        <c:numFmt formatCode="0.00" sourceLinked="1"/>
        <c:tickLblPos val="nextTo"/>
        <c:crossAx val="11308582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(résultats!$U$7,résultats!$U$10,résultats!$U$13,résultats!$U$16,résultats!$U$19,résultats!$U$22,résultats!$U$25,résultats!$U$28,résultats!$U$31,résultats!$U$34,résultats!$U$37,résultats!$U$40,résultats!$U$43,résultats!$U$46,résultats!$U$49)</c:f>
              <c:numCache>
                <c:formatCode>0.00</c:formatCode>
                <c:ptCount val="15"/>
                <c:pt idx="0">
                  <c:v>15.96</c:v>
                </c:pt>
                <c:pt idx="1">
                  <c:v>16.170000000000002</c:v>
                </c:pt>
                <c:pt idx="2">
                  <c:v>15.01</c:v>
                </c:pt>
                <c:pt idx="3">
                  <c:v>10.29</c:v>
                </c:pt>
                <c:pt idx="4">
                  <c:v>15.15</c:v>
                </c:pt>
                <c:pt idx="5">
                  <c:v>17.48</c:v>
                </c:pt>
                <c:pt idx="6">
                  <c:v>11.19</c:v>
                </c:pt>
                <c:pt idx="7">
                  <c:v>10.14</c:v>
                </c:pt>
                <c:pt idx="8">
                  <c:v>12.28</c:v>
                </c:pt>
                <c:pt idx="9">
                  <c:v>10.44</c:v>
                </c:pt>
                <c:pt idx="10">
                  <c:v>15.82</c:v>
                </c:pt>
                <c:pt idx="11">
                  <c:v>16.55</c:v>
                </c:pt>
                <c:pt idx="12">
                  <c:v>12.62</c:v>
                </c:pt>
                <c:pt idx="13">
                  <c:v>16.440000000000001</c:v>
                </c:pt>
                <c:pt idx="14">
                  <c:v>11.15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(résultats!$U$8,résultats!$U$11,résultats!$U$14,résultats!$U$17,résultats!$U$20,résultats!$U$23,résultats!$U$26,résultats!$U$29,résultats!$U$32,résultats!$U$35,résultats!$U$38,résultats!$U$41,résultats!$U$44,résultats!$U$47,résultats!$U$50,résultats!$U$52)</c:f>
              <c:numCache>
                <c:formatCode>0.00</c:formatCode>
                <c:ptCount val="16"/>
                <c:pt idx="0">
                  <c:v>12.98</c:v>
                </c:pt>
                <c:pt idx="1">
                  <c:v>10.65</c:v>
                </c:pt>
                <c:pt idx="2">
                  <c:v>14.13</c:v>
                </c:pt>
                <c:pt idx="3">
                  <c:v>15.89</c:v>
                </c:pt>
                <c:pt idx="4">
                  <c:v>10.74</c:v>
                </c:pt>
                <c:pt idx="5">
                  <c:v>8.5500000000000007</c:v>
                </c:pt>
                <c:pt idx="6">
                  <c:v>11.07</c:v>
                </c:pt>
                <c:pt idx="7">
                  <c:v>11.04</c:v>
                </c:pt>
                <c:pt idx="8">
                  <c:v>15.78</c:v>
                </c:pt>
                <c:pt idx="9">
                  <c:v>13.63</c:v>
                </c:pt>
                <c:pt idx="10">
                  <c:v>13.33</c:v>
                </c:pt>
                <c:pt idx="11">
                  <c:v>10.06</c:v>
                </c:pt>
                <c:pt idx="12">
                  <c:v>15.39</c:v>
                </c:pt>
                <c:pt idx="13">
                  <c:v>11.78</c:v>
                </c:pt>
                <c:pt idx="14">
                  <c:v>13.5</c:v>
                </c:pt>
                <c:pt idx="15">
                  <c:v>14.51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(résultats!$U$9,résultats!$U$12,résultats!$U$15,résultats!$U$18,résultats!$U$21,résultats!$U$24,résultats!$U$27,résultats!$U$30,résultats!$U$33,résultats!$U$36,résultats!$U$39,résultats!$U$42,résultats!$U$45,résultats!$U$48,résultats!$U$51,résultats!$U$53:$U$58)</c:f>
              <c:numCache>
                <c:formatCode>0.00</c:formatCode>
                <c:ptCount val="21"/>
                <c:pt idx="0">
                  <c:v>18.98</c:v>
                </c:pt>
                <c:pt idx="1">
                  <c:v>13.42</c:v>
                </c:pt>
                <c:pt idx="2">
                  <c:v>14.17</c:v>
                </c:pt>
                <c:pt idx="3">
                  <c:v>15.4</c:v>
                </c:pt>
                <c:pt idx="4">
                  <c:v>15.26</c:v>
                </c:pt>
                <c:pt idx="5">
                  <c:v>15.13</c:v>
                </c:pt>
                <c:pt idx="6">
                  <c:v>10.93</c:v>
                </c:pt>
                <c:pt idx="7">
                  <c:v>13.17</c:v>
                </c:pt>
                <c:pt idx="8">
                  <c:v>14.86</c:v>
                </c:pt>
                <c:pt idx="9">
                  <c:v>13.61</c:v>
                </c:pt>
                <c:pt idx="10">
                  <c:v>11.74</c:v>
                </c:pt>
                <c:pt idx="11">
                  <c:v>14.02</c:v>
                </c:pt>
                <c:pt idx="12">
                  <c:v>9.5399999999999991</c:v>
                </c:pt>
                <c:pt idx="13">
                  <c:v>14.39</c:v>
                </c:pt>
                <c:pt idx="14">
                  <c:v>9.84</c:v>
                </c:pt>
                <c:pt idx="15">
                  <c:v>14.9</c:v>
                </c:pt>
                <c:pt idx="16">
                  <c:v>16.14</c:v>
                </c:pt>
                <c:pt idx="17">
                  <c:v>15.41</c:v>
                </c:pt>
                <c:pt idx="18">
                  <c:v>17.829999999999998</c:v>
                </c:pt>
                <c:pt idx="19">
                  <c:v>13.82</c:v>
                </c:pt>
                <c:pt idx="20">
                  <c:v>13.13</c:v>
                </c:pt>
              </c:numCache>
            </c:numRef>
          </c:yVal>
        </c:ser>
        <c:axId val="112936832"/>
        <c:axId val="112938368"/>
      </c:scatterChart>
      <c:valAx>
        <c:axId val="11293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2938368"/>
        <c:crosses val="autoZero"/>
        <c:crossBetween val="midCat"/>
      </c:valAx>
      <c:valAx>
        <c:axId val="112938368"/>
        <c:scaling>
          <c:orientation val="minMax"/>
          <c:max val="90"/>
          <c:min val="0"/>
        </c:scaling>
        <c:axPos val="l"/>
        <c:majorGridlines/>
        <c:numFmt formatCode="0.00" sourceLinked="1"/>
        <c:tickLblPos val="nextTo"/>
        <c:crossAx val="112936832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(résultats!$W$7,résultats!$W$10,résultats!$W$13,résultats!$W$16,résultats!$W$19,résultats!$W$22,résultats!$W$25,résultats!$W$28,résultats!$W$31,résultats!$W$34,résultats!$W$37,résultats!$W$40,résultats!$W$43,résultats!$W$46,résultats!$W$49)</c:f>
              <c:numCache>
                <c:formatCode>0.00</c:formatCode>
                <c:ptCount val="15"/>
                <c:pt idx="0">
                  <c:v>68.819999999999993</c:v>
                </c:pt>
                <c:pt idx="1">
                  <c:v>70.989999999999995</c:v>
                </c:pt>
                <c:pt idx="2">
                  <c:v>75.39</c:v>
                </c:pt>
                <c:pt idx="3">
                  <c:v>77.44</c:v>
                </c:pt>
                <c:pt idx="4">
                  <c:v>72.069999999999993</c:v>
                </c:pt>
                <c:pt idx="5">
                  <c:v>69.790000000000006</c:v>
                </c:pt>
                <c:pt idx="6">
                  <c:v>76.5</c:v>
                </c:pt>
                <c:pt idx="7">
                  <c:v>77.41</c:v>
                </c:pt>
                <c:pt idx="8">
                  <c:v>75.09</c:v>
                </c:pt>
                <c:pt idx="9">
                  <c:v>77.2</c:v>
                </c:pt>
                <c:pt idx="10">
                  <c:v>71.62</c:v>
                </c:pt>
                <c:pt idx="11">
                  <c:v>70.7</c:v>
                </c:pt>
                <c:pt idx="12">
                  <c:v>75.31</c:v>
                </c:pt>
                <c:pt idx="13">
                  <c:v>71.44</c:v>
                </c:pt>
                <c:pt idx="14">
                  <c:v>77.040000000000006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(résultats!$W$8,résultats!$W$11,résultats!$W$14,résultats!$W$17,résultats!$W$20,résultats!$W$23,résultats!$W$26,résultats!$W$29,résultats!$W$32,résultats!$W$35,résultats!$W$38,résultats!$W$41,résultats!$W$44,résultats!$W$47,résultats!$W$50,résultats!$W$52)</c:f>
              <c:numCache>
                <c:formatCode>0.00</c:formatCode>
                <c:ptCount val="16"/>
                <c:pt idx="0">
                  <c:v>74.88</c:v>
                </c:pt>
                <c:pt idx="1">
                  <c:v>77.52</c:v>
                </c:pt>
                <c:pt idx="2">
                  <c:v>73.55</c:v>
                </c:pt>
                <c:pt idx="3">
                  <c:v>71.87</c:v>
                </c:pt>
                <c:pt idx="4">
                  <c:v>77.3</c:v>
                </c:pt>
                <c:pt idx="5">
                  <c:v>79.58</c:v>
                </c:pt>
                <c:pt idx="6">
                  <c:v>77.180000000000007</c:v>
                </c:pt>
                <c:pt idx="7">
                  <c:v>77.33</c:v>
                </c:pt>
                <c:pt idx="8">
                  <c:v>72.25</c:v>
                </c:pt>
                <c:pt idx="9">
                  <c:v>74.650000000000006</c:v>
                </c:pt>
                <c:pt idx="10">
                  <c:v>75.150000000000006</c:v>
                </c:pt>
                <c:pt idx="11">
                  <c:v>78.31</c:v>
                </c:pt>
                <c:pt idx="12">
                  <c:v>72.930000000000007</c:v>
                </c:pt>
                <c:pt idx="13">
                  <c:v>76.91</c:v>
                </c:pt>
                <c:pt idx="14">
                  <c:v>75.19</c:v>
                </c:pt>
                <c:pt idx="15">
                  <c:v>74.52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(résultats!$W$9,résultats!$W$12,résultats!$W$15,résultats!$W$18,résultats!$W$21,résultats!$W$24,résultats!$W$27,résultats!$W$30,résultats!$W$33,résultats!$W$36,résultats!$W$39,résultats!$W$42,résultats!$W$45,résultats!$W$48,résultats!$W$51,résultats!$W$53:$W$58)</c:f>
              <c:numCache>
                <c:formatCode>0.00</c:formatCode>
                <c:ptCount val="21"/>
                <c:pt idx="0">
                  <c:v>68.83</c:v>
                </c:pt>
                <c:pt idx="1">
                  <c:v>74.48</c:v>
                </c:pt>
                <c:pt idx="2">
                  <c:v>73.569999999999993</c:v>
                </c:pt>
                <c:pt idx="3">
                  <c:v>72.540000000000006</c:v>
                </c:pt>
                <c:pt idx="4">
                  <c:v>72.790000000000006</c:v>
                </c:pt>
                <c:pt idx="5">
                  <c:v>72.58</c:v>
                </c:pt>
                <c:pt idx="6">
                  <c:v>77.08</c:v>
                </c:pt>
                <c:pt idx="7">
                  <c:v>74.92</c:v>
                </c:pt>
                <c:pt idx="8">
                  <c:v>73.45</c:v>
                </c:pt>
                <c:pt idx="9">
                  <c:v>73.45</c:v>
                </c:pt>
                <c:pt idx="10">
                  <c:v>76.010000000000005</c:v>
                </c:pt>
                <c:pt idx="11">
                  <c:v>73.7</c:v>
                </c:pt>
                <c:pt idx="12">
                  <c:v>78.650000000000006</c:v>
                </c:pt>
                <c:pt idx="13">
                  <c:v>73.540000000000006</c:v>
                </c:pt>
                <c:pt idx="14">
                  <c:v>78.709999999999994</c:v>
                </c:pt>
                <c:pt idx="15">
                  <c:v>73.37</c:v>
                </c:pt>
                <c:pt idx="16">
                  <c:v>72.25</c:v>
                </c:pt>
                <c:pt idx="17">
                  <c:v>72.77</c:v>
                </c:pt>
                <c:pt idx="18">
                  <c:v>70.7</c:v>
                </c:pt>
                <c:pt idx="19">
                  <c:v>75.099999999999994</c:v>
                </c:pt>
                <c:pt idx="20">
                  <c:v>75.739999999999995</c:v>
                </c:pt>
              </c:numCache>
            </c:numRef>
          </c:yVal>
        </c:ser>
        <c:axId val="113115520"/>
        <c:axId val="113117056"/>
      </c:scatterChart>
      <c:valAx>
        <c:axId val="11311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3117056"/>
        <c:crosses val="autoZero"/>
        <c:crossBetween val="midCat"/>
      </c:valAx>
      <c:valAx>
        <c:axId val="113117056"/>
        <c:scaling>
          <c:orientation val="minMax"/>
          <c:max val="90"/>
          <c:min val="0"/>
        </c:scaling>
        <c:axPos val="l"/>
        <c:majorGridlines/>
        <c:numFmt formatCode="0.00" sourceLinked="1"/>
        <c:tickLblPos val="nextTo"/>
        <c:crossAx val="113115520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0.12083333333333333"/>
          <c:y val="4.8611111111111112E-2"/>
          <c:w val="0.67142015093103913"/>
          <c:h val="0.8298611111111116"/>
        </c:manualLayout>
      </c:layout>
      <c:scatterChart>
        <c:scatterStyle val="lineMarker"/>
        <c:ser>
          <c:idx val="0"/>
          <c:order val="0"/>
          <c:tx>
            <c:v>dragging</c:v>
          </c:tx>
          <c:xVal>
            <c:numRef>
              <c:f>(résultats!$D$7,résultats!$D$10,résultats!$D$13,résultats!$D$16,résultats!$D$19,résultats!$D$22,résultats!$D$25,résultats!$D$28,résultats!$D$31,résultats!$D$34,résultats!$D$37,résultats!$D$40,résultats!$D$43,résultats!$D$46,résultats!$D$49)</c:f>
              <c:numCache>
                <c:formatCode>General</c:formatCode>
                <c:ptCount val="15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</c:numCache>
            </c:numRef>
          </c:xVal>
          <c:yVal>
            <c:numRef>
              <c:f>(résultats!$Y$7,résultats!$Y$10,résultats!$Y$13,résultats!$Y$16,résultats!$Y$19,résultats!$Y$22,résultats!$Y$25,résultats!$Y$28,résultats!$Y$31,résultats!$Y$34,résultats!$Y$37,résultats!$Y$40,résultats!$Y$43,résultats!$Y$46,résultats!$Y$49)</c:f>
              <c:numCache>
                <c:formatCode>0.00</c:formatCode>
                <c:ptCount val="15"/>
                <c:pt idx="0">
                  <c:v>62.38</c:v>
                </c:pt>
                <c:pt idx="1">
                  <c:v>52.08</c:v>
                </c:pt>
                <c:pt idx="2">
                  <c:v>51.71</c:v>
                </c:pt>
                <c:pt idx="3">
                  <c:v>56.02</c:v>
                </c:pt>
                <c:pt idx="4">
                  <c:v>58.26</c:v>
                </c:pt>
                <c:pt idx="5">
                  <c:v>60.98</c:v>
                </c:pt>
                <c:pt idx="6">
                  <c:v>56.38</c:v>
                </c:pt>
                <c:pt idx="7">
                  <c:v>54.43</c:v>
                </c:pt>
                <c:pt idx="8">
                  <c:v>56.62</c:v>
                </c:pt>
                <c:pt idx="9">
                  <c:v>55.38</c:v>
                </c:pt>
                <c:pt idx="10">
                  <c:v>60.01</c:v>
                </c:pt>
                <c:pt idx="11">
                  <c:v>60.31</c:v>
                </c:pt>
                <c:pt idx="12">
                  <c:v>59.23</c:v>
                </c:pt>
                <c:pt idx="13">
                  <c:v>61.12</c:v>
                </c:pt>
                <c:pt idx="14">
                  <c:v>60.43</c:v>
                </c:pt>
              </c:numCache>
            </c:numRef>
          </c:yVal>
        </c:ser>
        <c:ser>
          <c:idx val="1"/>
          <c:order val="1"/>
          <c:tx>
            <c:v>reference</c:v>
          </c:tx>
          <c:xVal>
            <c:numRef>
              <c:f>(résultats!$D$8,résultats!$D$11,résultats!$D$14,résultats!$D$17,résultats!$D$20,résultats!$D$23,résultats!$D$26,résultats!$D$29,résultats!$D$32,résultats!$D$35,résultats!$D$38,résultats!$D$41,résultats!$D$44,résultats!$D$47,résultats!$D$50,résultats!$D$52)</c:f>
              <c:numCache>
                <c:formatCode>General</c:formatCode>
                <c:ptCount val="16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150432</c:v>
                </c:pt>
              </c:numCache>
            </c:numRef>
          </c:xVal>
          <c:yVal>
            <c:numRef>
              <c:f>(résultats!$Y$8,résultats!$Y$11,résultats!$Y$14,résultats!$Y$17,résultats!$Y$20,résultats!$Y$23,résultats!$Y$26,résultats!$Y$29,résultats!$Y$32,résultats!$Y$35,résultats!$Y$38,résultats!$Y$41,résultats!$Y$44,résultats!$Y$47,résultats!$Y$50,résultats!$Y$52)</c:f>
              <c:numCache>
                <c:formatCode>0.00</c:formatCode>
                <c:ptCount val="16"/>
                <c:pt idx="0">
                  <c:v>60.79</c:v>
                </c:pt>
                <c:pt idx="1">
                  <c:v>59.21</c:v>
                </c:pt>
                <c:pt idx="2">
                  <c:v>59.74</c:v>
                </c:pt>
                <c:pt idx="3">
                  <c:v>62.44</c:v>
                </c:pt>
                <c:pt idx="4">
                  <c:v>58.89</c:v>
                </c:pt>
                <c:pt idx="5">
                  <c:v>56.07</c:v>
                </c:pt>
                <c:pt idx="6">
                  <c:v>60.51</c:v>
                </c:pt>
                <c:pt idx="7">
                  <c:v>62.44</c:v>
                </c:pt>
                <c:pt idx="8">
                  <c:v>64.290000000000006</c:v>
                </c:pt>
                <c:pt idx="9">
                  <c:v>63.87</c:v>
                </c:pt>
                <c:pt idx="10">
                  <c:v>64.69</c:v>
                </c:pt>
                <c:pt idx="11">
                  <c:v>59.57</c:v>
                </c:pt>
                <c:pt idx="12">
                  <c:v>65.87</c:v>
                </c:pt>
                <c:pt idx="13">
                  <c:v>65.989999999999995</c:v>
                </c:pt>
                <c:pt idx="14">
                  <c:v>69.13</c:v>
                </c:pt>
                <c:pt idx="15">
                  <c:v>71.510000000000005</c:v>
                </c:pt>
              </c:numCache>
            </c:numRef>
          </c:yVal>
        </c:ser>
        <c:ser>
          <c:idx val="2"/>
          <c:order val="2"/>
          <c:tx>
            <c:v>magneto abrasive machining</c:v>
          </c:tx>
          <c:xVal>
            <c:numRef>
              <c:f>(résultats!$D$9,résultats!$D$12,résultats!$D$15,résultats!$D$18,résultats!$D$21,résultats!$D$24,résultats!$D$27,résultats!$D$30,résultats!$D$33,résultats!$D$36,résultats!$D$39,résultats!$D$42,résultats!$D$45,résultats!$D$48,résultats!$D$51,résultats!$D$53:$D$58)</c:f>
              <c:numCache>
                <c:formatCode>General</c:formatCode>
                <c:ptCount val="21"/>
                <c:pt idx="0">
                  <c:v>9402</c:v>
                </c:pt>
                <c:pt idx="1">
                  <c:v>18804</c:v>
                </c:pt>
                <c:pt idx="2">
                  <c:v>28206</c:v>
                </c:pt>
                <c:pt idx="3">
                  <c:v>37608</c:v>
                </c:pt>
                <c:pt idx="4">
                  <c:v>47010</c:v>
                </c:pt>
                <c:pt idx="5">
                  <c:v>56412</c:v>
                </c:pt>
                <c:pt idx="6">
                  <c:v>65814</c:v>
                </c:pt>
                <c:pt idx="7">
                  <c:v>75216</c:v>
                </c:pt>
                <c:pt idx="8">
                  <c:v>84618</c:v>
                </c:pt>
                <c:pt idx="9">
                  <c:v>94020</c:v>
                </c:pt>
                <c:pt idx="10">
                  <c:v>103422</c:v>
                </c:pt>
                <c:pt idx="11">
                  <c:v>112824</c:v>
                </c:pt>
                <c:pt idx="12">
                  <c:v>122226</c:v>
                </c:pt>
                <c:pt idx="13">
                  <c:v>131628</c:v>
                </c:pt>
                <c:pt idx="14">
                  <c:v>141030</c:v>
                </c:pt>
                <c:pt idx="15">
                  <c:v>159834</c:v>
                </c:pt>
                <c:pt idx="16">
                  <c:v>169236</c:v>
                </c:pt>
                <c:pt idx="17">
                  <c:v>178638</c:v>
                </c:pt>
                <c:pt idx="18">
                  <c:v>188040</c:v>
                </c:pt>
                <c:pt idx="19">
                  <c:v>197442</c:v>
                </c:pt>
                <c:pt idx="20">
                  <c:v>206844</c:v>
                </c:pt>
              </c:numCache>
            </c:numRef>
          </c:xVal>
          <c:yVal>
            <c:numRef>
              <c:f>(résultats!$Y$9,résultats!$Y$12,résultats!$Y$15,résultats!$Y$18,résultats!$Y$21,résultats!$Y$24,résultats!$Y$27,résultats!$Y$30,résultats!$Y$33,résultats!$Y$36,résultats!$Y$39,résultats!$Y$42,résultats!$Y$45,résultats!$Y$48,résultats!$Y$51,résultats!$Y$53:$Y$58)</c:f>
              <c:numCache>
                <c:formatCode>0.00</c:formatCode>
                <c:ptCount val="21"/>
                <c:pt idx="0">
                  <c:v>65.22</c:v>
                </c:pt>
                <c:pt idx="1">
                  <c:v>61.1</c:v>
                </c:pt>
                <c:pt idx="2">
                  <c:v>61.54</c:v>
                </c:pt>
                <c:pt idx="3">
                  <c:v>62.24</c:v>
                </c:pt>
                <c:pt idx="4">
                  <c:v>62.58</c:v>
                </c:pt>
                <c:pt idx="5">
                  <c:v>61.1</c:v>
                </c:pt>
                <c:pt idx="6">
                  <c:v>58.6</c:v>
                </c:pt>
                <c:pt idx="7">
                  <c:v>61.3</c:v>
                </c:pt>
                <c:pt idx="8">
                  <c:v>64.06</c:v>
                </c:pt>
                <c:pt idx="9">
                  <c:v>62.3</c:v>
                </c:pt>
                <c:pt idx="10">
                  <c:v>58.37</c:v>
                </c:pt>
                <c:pt idx="11">
                  <c:v>59.38</c:v>
                </c:pt>
                <c:pt idx="12">
                  <c:v>58.26</c:v>
                </c:pt>
                <c:pt idx="13">
                  <c:v>62.16</c:v>
                </c:pt>
                <c:pt idx="14">
                  <c:v>61.01</c:v>
                </c:pt>
                <c:pt idx="15">
                  <c:v>64.52</c:v>
                </c:pt>
                <c:pt idx="16">
                  <c:v>66.489999999999995</c:v>
                </c:pt>
                <c:pt idx="17">
                  <c:v>66.73</c:v>
                </c:pt>
                <c:pt idx="18">
                  <c:v>69.040000000000006</c:v>
                </c:pt>
                <c:pt idx="19">
                  <c:v>69.37</c:v>
                </c:pt>
                <c:pt idx="20">
                  <c:v>68.77</c:v>
                </c:pt>
              </c:numCache>
            </c:numRef>
          </c:yVal>
        </c:ser>
        <c:axId val="113158784"/>
        <c:axId val="113164672"/>
      </c:scatterChart>
      <c:valAx>
        <c:axId val="1131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3164672"/>
        <c:crosses val="autoZero"/>
        <c:crossBetween val="midCat"/>
      </c:valAx>
      <c:valAx>
        <c:axId val="113164672"/>
        <c:scaling>
          <c:orientation val="minMax"/>
          <c:max val="90"/>
          <c:min val="0"/>
        </c:scaling>
        <c:axPos val="l"/>
        <c:majorGridlines/>
        <c:numFmt formatCode="0.00" sourceLinked="1"/>
        <c:tickLblPos val="nextTo"/>
        <c:crossAx val="113158784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59</xdr:row>
      <xdr:rowOff>38100</xdr:rowOff>
    </xdr:from>
    <xdr:to>
      <xdr:col>5</xdr:col>
      <xdr:colOff>47625</xdr:colOff>
      <xdr:row>76</xdr:row>
      <xdr:rowOff>19050</xdr:rowOff>
    </xdr:to>
    <xdr:graphicFrame macro="">
      <xdr:nvGraphicFramePr>
        <xdr:cNvPr id="2049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59</xdr:row>
      <xdr:rowOff>66675</xdr:rowOff>
    </xdr:from>
    <xdr:to>
      <xdr:col>10</xdr:col>
      <xdr:colOff>47625</xdr:colOff>
      <xdr:row>76</xdr:row>
      <xdr:rowOff>47625</xdr:rowOff>
    </xdr:to>
    <xdr:graphicFrame macro="">
      <xdr:nvGraphicFramePr>
        <xdr:cNvPr id="2050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</xdr:colOff>
      <xdr:row>59</xdr:row>
      <xdr:rowOff>66675</xdr:rowOff>
    </xdr:from>
    <xdr:to>
      <xdr:col>15</xdr:col>
      <xdr:colOff>123825</xdr:colOff>
      <xdr:row>76</xdr:row>
      <xdr:rowOff>47625</xdr:rowOff>
    </xdr:to>
    <xdr:graphicFrame macro="">
      <xdr:nvGraphicFramePr>
        <xdr:cNvPr id="2051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542925</xdr:colOff>
      <xdr:row>28</xdr:row>
      <xdr:rowOff>47626</xdr:rowOff>
    </xdr:from>
    <xdr:to>
      <xdr:col>15</xdr:col>
      <xdr:colOff>161925</xdr:colOff>
      <xdr:row>38</xdr:row>
      <xdr:rowOff>28576</xdr:rowOff>
    </xdr:to>
    <xdr:graphicFrame macro="">
      <xdr:nvGraphicFramePr>
        <xdr:cNvPr id="2057" name="Graphique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33</xdr:row>
      <xdr:rowOff>123825</xdr:rowOff>
    </xdr:from>
    <xdr:to>
      <xdr:col>9</xdr:col>
      <xdr:colOff>228600</xdr:colOff>
      <xdr:row>40</xdr:row>
      <xdr:rowOff>123825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66675</xdr:rowOff>
    </xdr:from>
    <xdr:to>
      <xdr:col>10</xdr:col>
      <xdr:colOff>247650</xdr:colOff>
      <xdr:row>17</xdr:row>
      <xdr:rowOff>142875</xdr:rowOff>
    </xdr:to>
    <xdr:graphicFrame macro="">
      <xdr:nvGraphicFramePr>
        <xdr:cNvPr id="13313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18</xdr:row>
      <xdr:rowOff>28575</xdr:rowOff>
    </xdr:from>
    <xdr:to>
      <xdr:col>10</xdr:col>
      <xdr:colOff>266700</xdr:colOff>
      <xdr:row>32</xdr:row>
      <xdr:rowOff>104775</xdr:rowOff>
    </xdr:to>
    <xdr:graphicFrame macro="">
      <xdr:nvGraphicFramePr>
        <xdr:cNvPr id="13314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276225</xdr:colOff>
      <xdr:row>32</xdr:row>
      <xdr:rowOff>180975</xdr:rowOff>
    </xdr:from>
    <xdr:to>
      <xdr:col>10</xdr:col>
      <xdr:colOff>276225</xdr:colOff>
      <xdr:row>47</xdr:row>
      <xdr:rowOff>66675</xdr:rowOff>
    </xdr:to>
    <xdr:graphicFrame macro="">
      <xdr:nvGraphicFramePr>
        <xdr:cNvPr id="13315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0.96875</cdr:x>
      <cdr:y>0.21875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8999" y="95244"/>
          <a:ext cx="1000125" cy="5048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0244E3</a:t>
          </a:r>
        </a:p>
        <a:p xmlns:a="http://schemas.openxmlformats.org/drawingml/2006/main">
          <a:r>
            <a:rPr lang="fr-FR" sz="1200" b="1"/>
            <a:t>Dragging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0.96875</cdr:x>
      <cdr:y>0.23958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8999" y="95244"/>
          <a:ext cx="1000125" cy="561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0374E4</a:t>
          </a:r>
        </a:p>
        <a:p xmlns:a="http://schemas.openxmlformats.org/drawingml/2006/main">
          <a:r>
            <a:rPr lang="fr-FR" sz="1200" b="1"/>
            <a:t>Reference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0.73542</cdr:x>
      <cdr:y>0.03472</cdr:y>
    </cdr:from>
    <cdr:to>
      <cdr:x>0.96667</cdr:x>
      <cdr:y>0.35069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362325" y="95243"/>
          <a:ext cx="1057275" cy="8667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0533E2</a:t>
          </a:r>
        </a:p>
        <a:p xmlns:a="http://schemas.openxmlformats.org/drawingml/2006/main">
          <a:r>
            <a:rPr lang="fr-FR" sz="1200" b="1"/>
            <a:t>Magneto-abrasive machining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</xdr:row>
      <xdr:rowOff>104775</xdr:rowOff>
    </xdr:from>
    <xdr:to>
      <xdr:col>13</xdr:col>
      <xdr:colOff>752475</xdr:colOff>
      <xdr:row>16</xdr:row>
      <xdr:rowOff>180975</xdr:rowOff>
    </xdr:to>
    <xdr:graphicFrame macro="">
      <xdr:nvGraphicFramePr>
        <xdr:cNvPr id="3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17</xdr:row>
      <xdr:rowOff>161925</xdr:rowOff>
    </xdr:from>
    <xdr:to>
      <xdr:col>14</xdr:col>
      <xdr:colOff>9525</xdr:colOff>
      <xdr:row>32</xdr:row>
      <xdr:rowOff>47625</xdr:rowOff>
    </xdr:to>
    <xdr:graphicFrame macro="">
      <xdr:nvGraphicFramePr>
        <xdr:cNvPr id="4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609600</xdr:colOff>
      <xdr:row>33</xdr:row>
      <xdr:rowOff>0</xdr:rowOff>
    </xdr:from>
    <xdr:to>
      <xdr:col>14</xdr:col>
      <xdr:colOff>19050</xdr:colOff>
      <xdr:row>47</xdr:row>
      <xdr:rowOff>76200</xdr:rowOff>
    </xdr:to>
    <xdr:graphicFrame macro="">
      <xdr:nvGraphicFramePr>
        <xdr:cNvPr id="5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628650</xdr:colOff>
      <xdr:row>47</xdr:row>
      <xdr:rowOff>180975</xdr:rowOff>
    </xdr:from>
    <xdr:to>
      <xdr:col>14</xdr:col>
      <xdr:colOff>38100</xdr:colOff>
      <xdr:row>62</xdr:row>
      <xdr:rowOff>66675</xdr:rowOff>
    </xdr:to>
    <xdr:graphicFrame macro="">
      <xdr:nvGraphicFramePr>
        <xdr:cNvPr id="6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638175</xdr:colOff>
      <xdr:row>62</xdr:row>
      <xdr:rowOff>180975</xdr:rowOff>
    </xdr:from>
    <xdr:to>
      <xdr:col>14</xdr:col>
      <xdr:colOff>47625</xdr:colOff>
      <xdr:row>77</xdr:row>
      <xdr:rowOff>66675</xdr:rowOff>
    </xdr:to>
    <xdr:graphicFrame macro="">
      <xdr:nvGraphicFramePr>
        <xdr:cNvPr id="7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647700</xdr:colOff>
      <xdr:row>78</xdr:row>
      <xdr:rowOff>9525</xdr:rowOff>
    </xdr:from>
    <xdr:to>
      <xdr:col>14</xdr:col>
      <xdr:colOff>57150</xdr:colOff>
      <xdr:row>92</xdr:row>
      <xdr:rowOff>85725</xdr:rowOff>
    </xdr:to>
    <xdr:graphicFrame macro="">
      <xdr:nvGraphicFramePr>
        <xdr:cNvPr id="8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657225</xdr:colOff>
      <xdr:row>92</xdr:row>
      <xdr:rowOff>180975</xdr:rowOff>
    </xdr:from>
    <xdr:to>
      <xdr:col>14</xdr:col>
      <xdr:colOff>66675</xdr:colOff>
      <xdr:row>107</xdr:row>
      <xdr:rowOff>66675</xdr:rowOff>
    </xdr:to>
    <xdr:graphicFrame macro="">
      <xdr:nvGraphicFramePr>
        <xdr:cNvPr id="9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N av = f(NC)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Pav = f(NC)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Fs av = f(NC)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Fp av = f(NC)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Fpn av = f(NC)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Fz av = f(NC)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R av = f(NC)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95250</xdr:rowOff>
    </xdr:from>
    <xdr:to>
      <xdr:col>13</xdr:col>
      <xdr:colOff>381000</xdr:colOff>
      <xdr:row>20</xdr:row>
      <xdr:rowOff>171450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20</xdr:row>
      <xdr:rowOff>161925</xdr:rowOff>
    </xdr:from>
    <xdr:to>
      <xdr:col>13</xdr:col>
      <xdr:colOff>390525</xdr:colOff>
      <xdr:row>35</xdr:row>
      <xdr:rowOff>47625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35</xdr:row>
      <xdr:rowOff>57150</xdr:rowOff>
    </xdr:from>
    <xdr:to>
      <xdr:col>13</xdr:col>
      <xdr:colOff>390525</xdr:colOff>
      <xdr:row>49</xdr:row>
      <xdr:rowOff>133350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49</xdr:row>
      <xdr:rowOff>142875</xdr:rowOff>
    </xdr:from>
    <xdr:to>
      <xdr:col>13</xdr:col>
      <xdr:colOff>390525</xdr:colOff>
      <xdr:row>64</xdr:row>
      <xdr:rowOff>28575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AEA av = f(NC)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1200" b="1">
              <a:latin typeface="Calibri"/>
              <a:cs typeface="Calibri"/>
            </a:rPr>
            <a:t>λ</a:t>
          </a:r>
          <a:r>
            <a:rPr lang="fr-FR" sz="1200" b="1"/>
            <a:t> av = f(NC)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1200" b="1">
              <a:latin typeface="Calibri"/>
              <a:cs typeface="Calibri"/>
            </a:rPr>
            <a:t>η</a:t>
          </a:r>
          <a:r>
            <a:rPr lang="fr-FR" sz="1200" b="1"/>
            <a:t>= f(NC)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0.82292</cdr:x>
      <cdr:y>0.02083</cdr:y>
    </cdr:from>
    <cdr:to>
      <cdr:x>1</cdr:x>
      <cdr:y>0.10764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8453438" y="57144"/>
          <a:ext cx="1784514" cy="238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1200" b="1">
              <a:latin typeface="Calibri"/>
              <a:cs typeface="Calibri"/>
            </a:rPr>
            <a:t>β</a:t>
          </a:r>
          <a:r>
            <a:rPr lang="fr-FR" sz="1200" b="1"/>
            <a:t> av = f(NC)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AN60"/>
  <sheetViews>
    <sheetView topLeftCell="A5" workbookViewId="0">
      <pane ySplit="1" topLeftCell="A6" activePane="bottomLeft" state="frozen"/>
      <selection activeCell="B5" sqref="B5"/>
      <selection pane="bottomLeft" activeCell="AI11" sqref="AI11"/>
    </sheetView>
  </sheetViews>
  <sheetFormatPr baseColWidth="10" defaultRowHeight="15"/>
  <sheetData>
    <row r="4" spans="1:40"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40">
      <c r="B5" s="4" t="s">
        <v>7</v>
      </c>
      <c r="C5" s="4" t="s">
        <v>8</v>
      </c>
      <c r="D5" s="8" t="s">
        <v>0</v>
      </c>
      <c r="E5" s="8" t="s">
        <v>30</v>
      </c>
      <c r="F5" s="8" t="s">
        <v>29</v>
      </c>
      <c r="G5" s="8" t="s">
        <v>48</v>
      </c>
      <c r="H5" s="8" t="s">
        <v>51</v>
      </c>
      <c r="I5" s="8" t="s">
        <v>49</v>
      </c>
      <c r="J5" s="8" t="s">
        <v>50</v>
      </c>
      <c r="K5" s="8" t="s">
        <v>52</v>
      </c>
      <c r="L5" s="8" t="s">
        <v>53</v>
      </c>
      <c r="M5" s="8" t="s">
        <v>31</v>
      </c>
      <c r="N5" s="8" t="s">
        <v>32</v>
      </c>
      <c r="O5" s="8" t="s">
        <v>27</v>
      </c>
      <c r="P5" s="8" t="s">
        <v>28</v>
      </c>
      <c r="Q5" s="8" t="s">
        <v>38</v>
      </c>
      <c r="R5" s="8" t="s">
        <v>39</v>
      </c>
      <c r="S5" s="8" t="s">
        <v>25</v>
      </c>
      <c r="T5" s="8" t="s">
        <v>26</v>
      </c>
      <c r="U5" s="50" t="s">
        <v>36</v>
      </c>
      <c r="V5" s="50" t="s">
        <v>37</v>
      </c>
      <c r="W5" s="8" t="s">
        <v>33</v>
      </c>
      <c r="X5" s="8" t="s">
        <v>35</v>
      </c>
      <c r="Y5" s="8" t="s">
        <v>34</v>
      </c>
      <c r="Z5" s="8" t="s">
        <v>5</v>
      </c>
      <c r="AA5" s="8" t="s">
        <v>6</v>
      </c>
      <c r="AB5" s="8" t="s">
        <v>12</v>
      </c>
      <c r="AC5" s="8" t="s">
        <v>13</v>
      </c>
      <c r="AD5" s="8" t="s">
        <v>14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</row>
    <row r="6" spans="1:40">
      <c r="B6" s="5" t="s">
        <v>11</v>
      </c>
      <c r="C6" s="6" t="s">
        <v>10</v>
      </c>
      <c r="D6" s="7" t="s">
        <v>1</v>
      </c>
      <c r="E6" s="7" t="s">
        <v>3</v>
      </c>
      <c r="F6" s="7" t="s">
        <v>3</v>
      </c>
      <c r="G6" s="7" t="s">
        <v>3</v>
      </c>
      <c r="H6" s="7" t="s">
        <v>3</v>
      </c>
      <c r="I6" s="7" t="s">
        <v>3</v>
      </c>
      <c r="J6" s="7" t="s">
        <v>3</v>
      </c>
      <c r="K6" s="7" t="s">
        <v>3</v>
      </c>
      <c r="L6" s="7" t="s">
        <v>3</v>
      </c>
      <c r="M6" s="7" t="s">
        <v>3</v>
      </c>
      <c r="N6" s="7" t="s">
        <v>3</v>
      </c>
      <c r="O6" s="7" t="s">
        <v>3</v>
      </c>
      <c r="P6" s="7" t="s">
        <v>3</v>
      </c>
      <c r="Q6" s="7" t="s">
        <v>3</v>
      </c>
      <c r="R6" s="7" t="s">
        <v>3</v>
      </c>
      <c r="S6" s="7" t="s">
        <v>2</v>
      </c>
      <c r="T6" s="7" t="s">
        <v>2</v>
      </c>
      <c r="U6" s="7" t="s">
        <v>2</v>
      </c>
      <c r="V6" s="7" t="s">
        <v>2</v>
      </c>
      <c r="W6" s="7" t="s">
        <v>2</v>
      </c>
      <c r="X6" s="7"/>
      <c r="Y6" s="7" t="s">
        <v>2</v>
      </c>
      <c r="Z6" s="7" t="s">
        <v>4</v>
      </c>
      <c r="AA6" s="7" t="s">
        <v>4</v>
      </c>
      <c r="AB6" s="7" t="s">
        <v>4</v>
      </c>
      <c r="AC6" s="7" t="s">
        <v>4</v>
      </c>
      <c r="AD6" s="7" t="s">
        <v>4</v>
      </c>
      <c r="AE6" s="31"/>
      <c r="AF6" s="31"/>
      <c r="AG6" s="31"/>
      <c r="AH6" s="31"/>
      <c r="AI6" s="31"/>
      <c r="AJ6" s="31"/>
      <c r="AK6" s="31"/>
      <c r="AL6" s="7"/>
      <c r="AM6" s="7"/>
      <c r="AN6" s="7"/>
    </row>
    <row r="7" spans="1:40">
      <c r="A7" s="88" t="s">
        <v>58</v>
      </c>
      <c r="B7" s="89">
        <v>1</v>
      </c>
      <c r="C7" s="2" t="s">
        <v>55</v>
      </c>
      <c r="D7" s="17">
        <v>9402</v>
      </c>
      <c r="E7" s="13">
        <v>383.19</v>
      </c>
      <c r="F7" s="13">
        <v>974.4</v>
      </c>
      <c r="G7" s="13">
        <v>557.23</v>
      </c>
      <c r="H7" s="13">
        <v>1042.73</v>
      </c>
      <c r="I7" s="13">
        <v>682.28</v>
      </c>
      <c r="J7" s="13">
        <v>1413.81</v>
      </c>
      <c r="K7" s="13">
        <v>-173.65</v>
      </c>
      <c r="L7" s="13">
        <v>-459.85</v>
      </c>
      <c r="M7" s="13">
        <v>587.54</v>
      </c>
      <c r="N7" s="13">
        <v>1083.94</v>
      </c>
      <c r="O7" s="13">
        <v>123.81</v>
      </c>
      <c r="P7" s="13">
        <v>240.99</v>
      </c>
      <c r="Q7" s="13">
        <v>707.71</v>
      </c>
      <c r="R7" s="13">
        <v>1453.91</v>
      </c>
      <c r="S7" s="13">
        <v>79.73</v>
      </c>
      <c r="T7" s="13">
        <v>83.64</v>
      </c>
      <c r="U7" s="13">
        <v>15.96</v>
      </c>
      <c r="V7" s="13">
        <v>20.16</v>
      </c>
      <c r="W7" s="13">
        <v>68.819999999999993</v>
      </c>
      <c r="X7" s="13">
        <f t="shared" ref="X7:X58" si="0">ATAN(Y7)</f>
        <v>1.5547669207152806</v>
      </c>
      <c r="Y7" s="13">
        <v>62.38</v>
      </c>
      <c r="Z7" s="13">
        <v>16</v>
      </c>
      <c r="AA7" s="13">
        <v>14.33</v>
      </c>
      <c r="AB7" s="72"/>
      <c r="AC7" s="72"/>
      <c r="AD7" s="72"/>
      <c r="AE7" s="32"/>
      <c r="AF7" s="32"/>
      <c r="AG7" s="32"/>
      <c r="AH7" s="32"/>
      <c r="AI7" s="32"/>
      <c r="AJ7" s="32"/>
      <c r="AK7" s="13"/>
      <c r="AL7" s="13"/>
      <c r="AM7" s="13"/>
      <c r="AN7" s="13"/>
    </row>
    <row r="8" spans="1:40">
      <c r="A8" s="88"/>
      <c r="B8" s="90"/>
      <c r="C8" s="1" t="s">
        <v>56</v>
      </c>
      <c r="D8" s="17">
        <v>9402</v>
      </c>
      <c r="E8" s="14">
        <v>362.63</v>
      </c>
      <c r="F8" s="14">
        <v>928.26</v>
      </c>
      <c r="G8" s="14">
        <v>561.36</v>
      </c>
      <c r="H8" s="14">
        <v>980.33</v>
      </c>
      <c r="I8" s="14">
        <v>675</v>
      </c>
      <c r="J8" s="14">
        <v>1344.96</v>
      </c>
      <c r="K8" s="14">
        <v>-168.47</v>
      </c>
      <c r="L8" s="14">
        <v>-376.24</v>
      </c>
      <c r="M8" s="14">
        <v>587.52</v>
      </c>
      <c r="N8" s="14">
        <v>1028.3</v>
      </c>
      <c r="O8" s="14">
        <v>137.04</v>
      </c>
      <c r="P8" s="14">
        <v>220.23</v>
      </c>
      <c r="Q8" s="14">
        <v>697.11</v>
      </c>
      <c r="R8" s="14">
        <v>1385.31</v>
      </c>
      <c r="S8" s="14">
        <v>76.05</v>
      </c>
      <c r="T8" s="14">
        <v>82.35</v>
      </c>
      <c r="U8" s="14">
        <v>12.98</v>
      </c>
      <c r="V8" s="14">
        <v>14.89</v>
      </c>
      <c r="W8" s="14">
        <v>74.88</v>
      </c>
      <c r="X8" s="14">
        <f t="shared" si="0"/>
        <v>1.5543477363524318</v>
      </c>
      <c r="Y8" s="14">
        <v>60.79</v>
      </c>
      <c r="Z8" s="14">
        <v>16</v>
      </c>
      <c r="AA8" s="14">
        <v>13.33</v>
      </c>
      <c r="AB8" s="14"/>
      <c r="AC8" s="14"/>
      <c r="AD8" s="14"/>
      <c r="AE8" s="14"/>
      <c r="AF8" s="14"/>
      <c r="AG8" s="14"/>
      <c r="AH8" s="32"/>
      <c r="AI8" s="14"/>
      <c r="AJ8" s="14"/>
      <c r="AK8" s="14"/>
      <c r="AL8" s="14"/>
      <c r="AM8" s="14"/>
      <c r="AN8" s="14"/>
    </row>
    <row r="9" spans="1:40">
      <c r="A9" s="88"/>
      <c r="B9" s="91"/>
      <c r="C9" s="3" t="s">
        <v>57</v>
      </c>
      <c r="D9" s="17">
        <v>9402</v>
      </c>
      <c r="E9" s="71">
        <v>370.48</v>
      </c>
      <c r="F9" s="71">
        <v>910.95</v>
      </c>
      <c r="G9" s="71">
        <v>564.16</v>
      </c>
      <c r="H9" s="71">
        <v>975.76</v>
      </c>
      <c r="I9" s="71">
        <v>681.55</v>
      </c>
      <c r="J9" s="71">
        <v>1334.89</v>
      </c>
      <c r="K9" s="71">
        <v>-169.35</v>
      </c>
      <c r="L9" s="71">
        <v>-333.09</v>
      </c>
      <c r="M9" s="71">
        <v>590.37</v>
      </c>
      <c r="N9" s="71">
        <v>1016.65</v>
      </c>
      <c r="O9" s="71">
        <v>135.62</v>
      </c>
      <c r="P9" s="71">
        <v>219.74</v>
      </c>
      <c r="Q9" s="71">
        <v>703.79</v>
      </c>
      <c r="R9" s="71">
        <v>1365.07</v>
      </c>
      <c r="S9" s="71">
        <v>78.59</v>
      </c>
      <c r="T9" s="71">
        <v>83.72</v>
      </c>
      <c r="U9" s="71">
        <v>18.98</v>
      </c>
      <c r="V9" s="71">
        <v>22.54</v>
      </c>
      <c r="W9" s="71">
        <v>68.83</v>
      </c>
      <c r="X9" s="71">
        <f t="shared" si="0"/>
        <v>1.5554648081357321</v>
      </c>
      <c r="Y9" s="71">
        <v>65.22</v>
      </c>
      <c r="Z9" s="71">
        <v>15</v>
      </c>
      <c r="AA9" s="71">
        <v>13.67</v>
      </c>
      <c r="AB9" s="71"/>
      <c r="AC9" s="71"/>
      <c r="AD9" s="71"/>
      <c r="AE9" s="18" t="s">
        <v>9</v>
      </c>
      <c r="AF9" s="18"/>
      <c r="AG9" s="18"/>
      <c r="AH9" s="32"/>
      <c r="AI9" s="18"/>
      <c r="AJ9" s="18"/>
      <c r="AK9" s="18"/>
      <c r="AL9" s="18"/>
      <c r="AM9" s="18"/>
      <c r="AN9" s="18"/>
    </row>
    <row r="10" spans="1:40">
      <c r="A10" s="88"/>
      <c r="B10" s="89">
        <v>2</v>
      </c>
      <c r="C10" s="2" t="s">
        <v>55</v>
      </c>
      <c r="D10" s="17">
        <f>D7*2</f>
        <v>18804</v>
      </c>
      <c r="E10" s="13">
        <v>355.14</v>
      </c>
      <c r="F10" s="13">
        <v>979.89</v>
      </c>
      <c r="G10" s="13">
        <v>499.01</v>
      </c>
      <c r="H10" s="13">
        <v>1037.58</v>
      </c>
      <c r="I10" s="13">
        <v>618</v>
      </c>
      <c r="J10" s="13">
        <v>1404.19</v>
      </c>
      <c r="K10" s="13">
        <v>-152.94999999999999</v>
      </c>
      <c r="L10" s="13">
        <v>-429.02</v>
      </c>
      <c r="M10" s="13">
        <v>525.36</v>
      </c>
      <c r="N10" s="13">
        <v>1083.8800000000001</v>
      </c>
      <c r="O10" s="13">
        <v>108.48</v>
      </c>
      <c r="P10" s="13">
        <v>234.79</v>
      </c>
      <c r="Q10" s="13">
        <v>640.03</v>
      </c>
      <c r="R10" s="13">
        <v>1438.73</v>
      </c>
      <c r="S10" s="13">
        <v>79.91</v>
      </c>
      <c r="T10" s="13">
        <v>82.59</v>
      </c>
      <c r="U10" s="13">
        <v>16.170000000000002</v>
      </c>
      <c r="V10" s="13">
        <v>20.27</v>
      </c>
      <c r="W10" s="13">
        <v>70.989999999999995</v>
      </c>
      <c r="X10" s="13">
        <f t="shared" si="0"/>
        <v>1.551597457143423</v>
      </c>
      <c r="Y10" s="13">
        <v>52.08</v>
      </c>
      <c r="Z10" s="13">
        <v>18</v>
      </c>
      <c r="AA10" s="13">
        <v>16.670000000000002</v>
      </c>
      <c r="AB10" s="72"/>
      <c r="AC10" s="72"/>
      <c r="AD10" s="72"/>
      <c r="AE10" s="32"/>
      <c r="AF10" s="32"/>
      <c r="AG10" s="32"/>
      <c r="AH10" s="32"/>
      <c r="AI10" s="32"/>
      <c r="AJ10" s="32"/>
      <c r="AK10" s="13"/>
      <c r="AL10" s="13"/>
      <c r="AM10" s="13"/>
      <c r="AN10" s="13"/>
    </row>
    <row r="11" spans="1:40">
      <c r="A11" s="88"/>
      <c r="B11" s="90"/>
      <c r="C11" s="1" t="s">
        <v>56</v>
      </c>
      <c r="D11" s="17">
        <v>18804</v>
      </c>
      <c r="E11" s="14">
        <v>418.09</v>
      </c>
      <c r="F11" s="14">
        <v>945.37</v>
      </c>
      <c r="G11" s="14">
        <v>608.46</v>
      </c>
      <c r="H11" s="14">
        <v>1021.73</v>
      </c>
      <c r="I11" s="14">
        <v>743.6</v>
      </c>
      <c r="J11" s="14">
        <v>1385.42</v>
      </c>
      <c r="K11" s="14">
        <v>-178.69</v>
      </c>
      <c r="L11" s="14">
        <v>-377.64</v>
      </c>
      <c r="M11" s="14">
        <v>635.96</v>
      </c>
      <c r="N11" s="14">
        <v>1067.54</v>
      </c>
      <c r="O11" s="14">
        <v>142.57</v>
      </c>
      <c r="P11" s="14">
        <v>232.98</v>
      </c>
      <c r="Q11" s="14">
        <v>766.56</v>
      </c>
      <c r="R11" s="14">
        <v>1419.81</v>
      </c>
      <c r="S11" s="14">
        <v>75.06</v>
      </c>
      <c r="T11" s="14">
        <v>78.45</v>
      </c>
      <c r="U11" s="14">
        <v>10.65</v>
      </c>
      <c r="V11" s="14">
        <v>13.1</v>
      </c>
      <c r="W11" s="14">
        <v>77.52</v>
      </c>
      <c r="X11" s="14">
        <f t="shared" si="0"/>
        <v>1.5539088933142444</v>
      </c>
      <c r="Y11" s="14">
        <v>59.21</v>
      </c>
      <c r="Z11" s="14">
        <v>29</v>
      </c>
      <c r="AA11" s="14">
        <v>25.67</v>
      </c>
      <c r="AB11" s="14"/>
      <c r="AC11" s="14"/>
      <c r="AD11" s="14"/>
      <c r="AE11" s="14"/>
      <c r="AF11" s="14"/>
      <c r="AG11" s="14"/>
      <c r="AH11" s="32"/>
      <c r="AI11" s="14"/>
      <c r="AJ11" s="14"/>
      <c r="AK11" s="14"/>
      <c r="AL11" s="14"/>
      <c r="AM11" s="14"/>
      <c r="AN11" s="14"/>
    </row>
    <row r="12" spans="1:40">
      <c r="A12" s="88"/>
      <c r="B12" s="91"/>
      <c r="C12" s="3" t="s">
        <v>57</v>
      </c>
      <c r="D12" s="17">
        <v>18804</v>
      </c>
      <c r="E12" s="71">
        <v>393.26</v>
      </c>
      <c r="F12" s="71">
        <v>805.24</v>
      </c>
      <c r="G12" s="71">
        <v>576.45000000000005</v>
      </c>
      <c r="H12" s="71">
        <v>900.5</v>
      </c>
      <c r="I12" s="71">
        <v>703.83</v>
      </c>
      <c r="J12" s="71">
        <v>1204.8499999999999</v>
      </c>
      <c r="K12" s="71">
        <v>-148.76</v>
      </c>
      <c r="L12" s="71">
        <v>-281.77</v>
      </c>
      <c r="M12" s="71">
        <v>596.1</v>
      </c>
      <c r="N12" s="71">
        <v>935.82</v>
      </c>
      <c r="O12" s="71">
        <v>149.68</v>
      </c>
      <c r="P12" s="71">
        <v>214.52</v>
      </c>
      <c r="Q12" s="71">
        <v>720.2</v>
      </c>
      <c r="R12" s="71">
        <v>1225.6400000000001</v>
      </c>
      <c r="S12" s="71">
        <v>76.2</v>
      </c>
      <c r="T12" s="71">
        <v>81.180000000000007</v>
      </c>
      <c r="U12" s="71">
        <v>13.42</v>
      </c>
      <c r="V12" s="71">
        <v>15.38</v>
      </c>
      <c r="W12" s="71">
        <v>74.48</v>
      </c>
      <c r="X12" s="71">
        <f t="shared" si="0"/>
        <v>1.5544311758017102</v>
      </c>
      <c r="Y12" s="71">
        <v>61.1</v>
      </c>
      <c r="Z12" s="71">
        <v>17</v>
      </c>
      <c r="AA12" s="71">
        <v>14</v>
      </c>
      <c r="AB12" s="71"/>
      <c r="AC12" s="71"/>
      <c r="AD12" s="71"/>
      <c r="AE12" s="18" t="s">
        <v>9</v>
      </c>
      <c r="AF12" s="18"/>
      <c r="AG12" s="18"/>
      <c r="AH12" s="32"/>
      <c r="AI12" s="18"/>
      <c r="AJ12" s="18"/>
      <c r="AK12" s="18"/>
      <c r="AL12" s="18"/>
      <c r="AM12" s="18"/>
      <c r="AN12" s="18"/>
    </row>
    <row r="13" spans="1:40">
      <c r="A13" s="88"/>
      <c r="B13" s="89">
        <v>3</v>
      </c>
      <c r="C13" s="2" t="s">
        <v>55</v>
      </c>
      <c r="D13" s="17">
        <f>D7*3</f>
        <v>28206</v>
      </c>
      <c r="E13" s="13">
        <v>376.67</v>
      </c>
      <c r="F13" s="13">
        <v>908.1</v>
      </c>
      <c r="G13" s="13">
        <v>525.96</v>
      </c>
      <c r="H13" s="13">
        <v>926.45</v>
      </c>
      <c r="I13" s="13">
        <v>653.23</v>
      </c>
      <c r="J13" s="13">
        <v>1297.28</v>
      </c>
      <c r="K13" s="13">
        <v>-160.55000000000001</v>
      </c>
      <c r="L13" s="13">
        <v>-363.42</v>
      </c>
      <c r="M13" s="13">
        <v>551.6</v>
      </c>
      <c r="N13" s="13">
        <v>964.64</v>
      </c>
      <c r="O13" s="13">
        <v>113.98</v>
      </c>
      <c r="P13" s="13">
        <v>187.57</v>
      </c>
      <c r="Q13" s="13">
        <v>674.63</v>
      </c>
      <c r="R13" s="13">
        <v>1324.83</v>
      </c>
      <c r="S13" s="13">
        <v>79.489999999999995</v>
      </c>
      <c r="T13" s="13">
        <v>83.17</v>
      </c>
      <c r="U13" s="13">
        <v>15.01</v>
      </c>
      <c r="V13" s="13">
        <v>20.329999999999998</v>
      </c>
      <c r="W13" s="13">
        <v>75.39</v>
      </c>
      <c r="X13" s="13">
        <f t="shared" si="0"/>
        <v>1.551460117797915</v>
      </c>
      <c r="Y13" s="13">
        <v>51.71</v>
      </c>
      <c r="Z13" s="13">
        <v>22</v>
      </c>
      <c r="AA13" s="13">
        <v>19</v>
      </c>
      <c r="AB13" s="72"/>
      <c r="AC13" s="72"/>
      <c r="AD13" s="72"/>
      <c r="AE13" s="32"/>
      <c r="AF13" s="32"/>
      <c r="AG13" s="32"/>
      <c r="AH13" s="32"/>
      <c r="AI13" s="32"/>
      <c r="AJ13" s="32"/>
      <c r="AK13" s="13"/>
      <c r="AL13" s="13"/>
      <c r="AM13" s="13"/>
      <c r="AN13" s="13"/>
    </row>
    <row r="14" spans="1:40">
      <c r="A14" s="88"/>
      <c r="B14" s="90"/>
      <c r="C14" s="1" t="s">
        <v>56</v>
      </c>
      <c r="D14" s="17">
        <v>28206</v>
      </c>
      <c r="E14" s="14">
        <v>379.27</v>
      </c>
      <c r="F14" s="14">
        <v>958.16</v>
      </c>
      <c r="G14" s="14">
        <v>590</v>
      </c>
      <c r="H14" s="14">
        <v>1026.6300000000001</v>
      </c>
      <c r="I14" s="14">
        <v>708.21</v>
      </c>
      <c r="J14" s="14">
        <v>1398.75</v>
      </c>
      <c r="K14" s="14">
        <v>-170.41</v>
      </c>
      <c r="L14" s="14">
        <v>-392.93</v>
      </c>
      <c r="M14" s="14">
        <v>615.28</v>
      </c>
      <c r="N14" s="14">
        <v>1077.48</v>
      </c>
      <c r="O14" s="14">
        <v>149.09</v>
      </c>
      <c r="P14" s="14">
        <v>226.55</v>
      </c>
      <c r="Q14" s="14">
        <v>729.61</v>
      </c>
      <c r="R14" s="14">
        <v>1436.48</v>
      </c>
      <c r="S14" s="14">
        <v>77.760000000000005</v>
      </c>
      <c r="T14" s="14">
        <v>80.150000000000006</v>
      </c>
      <c r="U14" s="14">
        <v>14.13</v>
      </c>
      <c r="V14" s="14">
        <v>18.68</v>
      </c>
      <c r="W14" s="14">
        <v>73.55</v>
      </c>
      <c r="X14" s="14">
        <f t="shared" si="0"/>
        <v>1.5540586867649118</v>
      </c>
      <c r="Y14" s="14">
        <v>59.74</v>
      </c>
      <c r="Z14" s="14">
        <v>28</v>
      </c>
      <c r="AA14" s="14">
        <v>22.33</v>
      </c>
      <c r="AB14" s="14"/>
      <c r="AC14" s="14"/>
      <c r="AD14" s="14"/>
      <c r="AE14" s="14"/>
      <c r="AF14" s="14"/>
      <c r="AG14" s="14"/>
      <c r="AH14" s="32"/>
      <c r="AI14" s="14"/>
      <c r="AJ14" s="14"/>
      <c r="AK14" s="14"/>
      <c r="AL14" s="14"/>
      <c r="AM14" s="14"/>
      <c r="AN14" s="14"/>
    </row>
    <row r="15" spans="1:40">
      <c r="A15" s="88"/>
      <c r="B15" s="91"/>
      <c r="C15" s="3" t="s">
        <v>57</v>
      </c>
      <c r="D15" s="17">
        <v>28206</v>
      </c>
      <c r="E15" s="71">
        <v>389.46</v>
      </c>
      <c r="F15" s="71">
        <v>878.01</v>
      </c>
      <c r="G15" s="71">
        <v>609.62</v>
      </c>
      <c r="H15" s="71">
        <v>1029.42</v>
      </c>
      <c r="I15" s="71">
        <v>730.22</v>
      </c>
      <c r="J15" s="71">
        <v>1419.93</v>
      </c>
      <c r="K15" s="71">
        <v>-182.78</v>
      </c>
      <c r="L15" s="71">
        <v>-415.38</v>
      </c>
      <c r="M15" s="71">
        <v>637.59</v>
      </c>
      <c r="N15" s="71">
        <v>1089.74</v>
      </c>
      <c r="O15" s="71">
        <v>150.41999999999999</v>
      </c>
      <c r="P15" s="71">
        <v>204.95</v>
      </c>
      <c r="Q15" s="71">
        <v>753.95</v>
      </c>
      <c r="R15" s="71">
        <v>1464.25</v>
      </c>
      <c r="S15" s="71">
        <v>76.7</v>
      </c>
      <c r="T15" s="71">
        <v>84.61</v>
      </c>
      <c r="U15" s="71">
        <v>14.17</v>
      </c>
      <c r="V15" s="71">
        <v>16.43</v>
      </c>
      <c r="W15" s="71">
        <v>73.569999999999993</v>
      </c>
      <c r="X15" s="71">
        <f t="shared" si="0"/>
        <v>1.554548163039464</v>
      </c>
      <c r="Y15" s="71">
        <v>61.54</v>
      </c>
      <c r="Z15" s="71">
        <v>20</v>
      </c>
      <c r="AA15" s="71">
        <v>17.329999999999998</v>
      </c>
      <c r="AB15" s="71"/>
      <c r="AC15" s="71"/>
      <c r="AD15" s="71"/>
      <c r="AE15" s="18" t="s">
        <v>9</v>
      </c>
      <c r="AF15" s="18"/>
      <c r="AG15" s="18"/>
      <c r="AH15" s="32"/>
      <c r="AI15" s="18"/>
      <c r="AJ15" s="18"/>
      <c r="AK15" s="18"/>
      <c r="AL15" s="18"/>
      <c r="AM15" s="18"/>
      <c r="AN15" s="18"/>
    </row>
    <row r="16" spans="1:40">
      <c r="A16" s="88"/>
      <c r="B16" s="89">
        <v>4</v>
      </c>
      <c r="C16" s="2" t="s">
        <v>55</v>
      </c>
      <c r="D16" s="17">
        <f>D7*4</f>
        <v>37608</v>
      </c>
      <c r="E16" s="13">
        <v>373.15</v>
      </c>
      <c r="F16" s="13">
        <v>972.98</v>
      </c>
      <c r="G16" s="13">
        <v>525.28</v>
      </c>
      <c r="H16" s="13">
        <v>983.85</v>
      </c>
      <c r="I16" s="13">
        <v>650.46</v>
      </c>
      <c r="J16" s="13">
        <v>1383.71</v>
      </c>
      <c r="K16" s="13">
        <v>-161.19999999999999</v>
      </c>
      <c r="L16" s="13">
        <v>-377.87</v>
      </c>
      <c r="M16" s="13">
        <v>551.6</v>
      </c>
      <c r="N16" s="13">
        <v>1030.6400000000001</v>
      </c>
      <c r="O16" s="13">
        <v>114.29</v>
      </c>
      <c r="P16" s="13">
        <v>172.85</v>
      </c>
      <c r="Q16" s="13">
        <v>672.4</v>
      </c>
      <c r="R16" s="13">
        <v>1417.36</v>
      </c>
      <c r="S16" s="13">
        <v>76.84</v>
      </c>
      <c r="T16" s="13">
        <v>80.760000000000005</v>
      </c>
      <c r="U16" s="13">
        <v>10.29</v>
      </c>
      <c r="V16" s="13">
        <v>11.8</v>
      </c>
      <c r="W16" s="13">
        <v>77.44</v>
      </c>
      <c r="X16" s="13">
        <f t="shared" si="0"/>
        <v>1.5529474548979223</v>
      </c>
      <c r="Y16" s="13">
        <v>56.02</v>
      </c>
      <c r="Z16" s="13">
        <v>23</v>
      </c>
      <c r="AA16" s="13">
        <v>21</v>
      </c>
      <c r="AB16" s="72"/>
      <c r="AC16" s="72"/>
      <c r="AD16" s="72"/>
      <c r="AE16" s="32"/>
      <c r="AF16" s="32"/>
      <c r="AG16" s="32"/>
      <c r="AH16" s="32"/>
      <c r="AI16" s="32"/>
      <c r="AJ16" s="32"/>
      <c r="AK16" s="13"/>
      <c r="AL16" s="13"/>
      <c r="AM16" s="13"/>
      <c r="AN16" s="13"/>
    </row>
    <row r="17" spans="1:40">
      <c r="A17" s="88"/>
      <c r="B17" s="90"/>
      <c r="C17" s="1" t="s">
        <v>56</v>
      </c>
      <c r="D17" s="17">
        <v>37608</v>
      </c>
      <c r="E17" s="14">
        <v>372.82</v>
      </c>
      <c r="F17" s="14">
        <v>964.16</v>
      </c>
      <c r="G17" s="14">
        <v>598.20000000000005</v>
      </c>
      <c r="H17" s="14">
        <v>1038.6199999999999</v>
      </c>
      <c r="I17" s="14">
        <v>711.69</v>
      </c>
      <c r="J17" s="14">
        <v>1412.85</v>
      </c>
      <c r="K17" s="14">
        <v>-172.61</v>
      </c>
      <c r="L17" s="14">
        <v>-417.45</v>
      </c>
      <c r="M17" s="14">
        <v>623.92999999999995</v>
      </c>
      <c r="N17" s="14">
        <v>1088.82</v>
      </c>
      <c r="O17" s="14">
        <v>155.28</v>
      </c>
      <c r="P17" s="14">
        <v>221.62</v>
      </c>
      <c r="Q17" s="14">
        <v>733.69</v>
      </c>
      <c r="R17" s="14">
        <v>1454.35</v>
      </c>
      <c r="S17" s="14">
        <v>77.5</v>
      </c>
      <c r="T17" s="14">
        <v>83.11</v>
      </c>
      <c r="U17" s="14">
        <v>15.89</v>
      </c>
      <c r="V17" s="14">
        <v>17.809999999999999</v>
      </c>
      <c r="W17" s="14">
        <v>71.87</v>
      </c>
      <c r="X17" s="14">
        <f t="shared" si="0"/>
        <v>1.5547823210974963</v>
      </c>
      <c r="Y17" s="14">
        <v>62.44</v>
      </c>
      <c r="Z17" s="14">
        <v>38</v>
      </c>
      <c r="AA17" s="14">
        <v>30</v>
      </c>
      <c r="AB17" s="14"/>
      <c r="AC17" s="14"/>
      <c r="AD17" s="14"/>
      <c r="AE17" s="14"/>
      <c r="AF17" s="14"/>
      <c r="AG17" s="14"/>
      <c r="AH17" s="32"/>
      <c r="AI17" s="14"/>
      <c r="AJ17" s="14"/>
      <c r="AK17" s="14"/>
      <c r="AL17" s="14"/>
      <c r="AM17" s="14"/>
      <c r="AN17" s="14"/>
    </row>
    <row r="18" spans="1:40">
      <c r="A18" s="88"/>
      <c r="B18" s="91"/>
      <c r="C18" s="3" t="s">
        <v>57</v>
      </c>
      <c r="D18" s="17">
        <v>37608</v>
      </c>
      <c r="E18" s="71">
        <v>391.44</v>
      </c>
      <c r="F18" s="71">
        <v>991.22</v>
      </c>
      <c r="G18" s="71">
        <v>609.16</v>
      </c>
      <c r="H18" s="71">
        <v>1096.06</v>
      </c>
      <c r="I18" s="71">
        <v>730.28</v>
      </c>
      <c r="J18" s="71">
        <v>1473.25</v>
      </c>
      <c r="K18" s="71">
        <v>-181.65</v>
      </c>
      <c r="L18" s="71">
        <v>-401.44</v>
      </c>
      <c r="M18" s="71">
        <v>637.01</v>
      </c>
      <c r="N18" s="71">
        <v>1149.57</v>
      </c>
      <c r="O18" s="71">
        <v>150.18</v>
      </c>
      <c r="P18" s="71">
        <v>239.33</v>
      </c>
      <c r="Q18" s="71">
        <v>753.93</v>
      </c>
      <c r="R18" s="71">
        <v>1513.48</v>
      </c>
      <c r="S18" s="71">
        <v>77.17</v>
      </c>
      <c r="T18" s="71">
        <v>79.25</v>
      </c>
      <c r="U18" s="71">
        <v>15.4</v>
      </c>
      <c r="V18" s="71">
        <v>18.489999999999998</v>
      </c>
      <c r="W18" s="71">
        <v>72.540000000000006</v>
      </c>
      <c r="X18" s="71">
        <f t="shared" si="0"/>
        <v>1.5547308710499812</v>
      </c>
      <c r="Y18" s="71">
        <v>62.24</v>
      </c>
      <c r="Z18" s="71">
        <v>26</v>
      </c>
      <c r="AA18" s="71">
        <v>22</v>
      </c>
      <c r="AB18" s="71"/>
      <c r="AC18" s="71"/>
      <c r="AD18" s="71"/>
      <c r="AE18" s="18" t="s">
        <v>9</v>
      </c>
      <c r="AF18" s="18"/>
      <c r="AG18" s="18"/>
      <c r="AH18" s="32"/>
      <c r="AI18" s="18"/>
      <c r="AJ18" s="18"/>
      <c r="AK18" s="18"/>
      <c r="AL18" s="18"/>
      <c r="AM18" s="18"/>
      <c r="AN18" s="18"/>
    </row>
    <row r="19" spans="1:40">
      <c r="A19" s="88"/>
      <c r="B19" s="89">
        <v>5</v>
      </c>
      <c r="C19" s="2" t="s">
        <v>55</v>
      </c>
      <c r="D19" s="17">
        <f>D7*5</f>
        <v>47010</v>
      </c>
      <c r="E19" s="13">
        <v>362.95</v>
      </c>
      <c r="F19" s="13">
        <v>879.52</v>
      </c>
      <c r="G19" s="13">
        <v>518.20000000000005</v>
      </c>
      <c r="H19" s="13">
        <v>867.54</v>
      </c>
      <c r="I19" s="13">
        <v>638</v>
      </c>
      <c r="J19" s="13">
        <v>1256.6400000000001</v>
      </c>
      <c r="K19" s="13">
        <v>-157.82</v>
      </c>
      <c r="L19" s="13">
        <v>-340.6</v>
      </c>
      <c r="M19" s="13">
        <v>543.13</v>
      </c>
      <c r="N19" s="13">
        <v>937.91</v>
      </c>
      <c r="O19" s="13">
        <v>115.33</v>
      </c>
      <c r="P19" s="13">
        <v>174.56</v>
      </c>
      <c r="Q19" s="13">
        <v>658.81</v>
      </c>
      <c r="R19" s="13">
        <v>1285.78</v>
      </c>
      <c r="S19" s="13">
        <v>79.510000000000005</v>
      </c>
      <c r="T19" s="13">
        <v>81.83</v>
      </c>
      <c r="U19" s="13">
        <v>15.15</v>
      </c>
      <c r="V19" s="13">
        <v>18.760000000000002</v>
      </c>
      <c r="W19" s="13">
        <v>72.069999999999993</v>
      </c>
      <c r="X19" s="13">
        <f t="shared" si="0"/>
        <v>1.5536335768565168</v>
      </c>
      <c r="Y19" s="13">
        <v>58.26</v>
      </c>
      <c r="Z19" s="13">
        <v>27</v>
      </c>
      <c r="AA19" s="13">
        <v>24.33</v>
      </c>
      <c r="AB19" s="72"/>
      <c r="AC19" s="72"/>
      <c r="AD19" s="72"/>
      <c r="AE19" s="32"/>
      <c r="AF19" s="32"/>
      <c r="AG19" s="32"/>
      <c r="AH19" s="32"/>
      <c r="AI19" s="32"/>
      <c r="AJ19" s="32"/>
      <c r="AK19" s="13"/>
      <c r="AL19" s="13"/>
      <c r="AM19" s="13"/>
      <c r="AN19" s="13"/>
    </row>
    <row r="20" spans="1:40">
      <c r="A20" s="88"/>
      <c r="B20" s="90"/>
      <c r="C20" s="1" t="s">
        <v>56</v>
      </c>
      <c r="D20" s="17">
        <v>47010</v>
      </c>
      <c r="E20" s="14">
        <v>362.8</v>
      </c>
      <c r="F20" s="14">
        <v>932.71</v>
      </c>
      <c r="G20" s="14">
        <v>581.54999999999995</v>
      </c>
      <c r="H20" s="14">
        <v>1043.53</v>
      </c>
      <c r="I20" s="14">
        <v>691.7</v>
      </c>
      <c r="J20" s="14">
        <v>1393.07</v>
      </c>
      <c r="K20" s="14">
        <v>-163</v>
      </c>
      <c r="L20" s="14">
        <v>-395.56</v>
      </c>
      <c r="M20" s="14">
        <v>605.41999999999996</v>
      </c>
      <c r="N20" s="14">
        <v>1086.3499999999999</v>
      </c>
      <c r="O20" s="14">
        <v>154.03</v>
      </c>
      <c r="P20" s="14">
        <v>213.48</v>
      </c>
      <c r="Q20" s="14">
        <v>712.1</v>
      </c>
      <c r="R20" s="14">
        <v>1431.68</v>
      </c>
      <c r="S20" s="14">
        <v>75.36</v>
      </c>
      <c r="T20" s="14">
        <v>80.650000000000006</v>
      </c>
      <c r="U20" s="14">
        <v>10.74</v>
      </c>
      <c r="V20" s="14">
        <v>11.58</v>
      </c>
      <c r="W20" s="14">
        <v>77.3</v>
      </c>
      <c r="X20" s="14">
        <f t="shared" si="0"/>
        <v>1.5538171469572839</v>
      </c>
      <c r="Y20" s="14">
        <v>58.89</v>
      </c>
      <c r="Z20" s="14">
        <v>41</v>
      </c>
      <c r="AA20" s="14">
        <v>32.33</v>
      </c>
      <c r="AB20" s="14"/>
      <c r="AC20" s="14"/>
      <c r="AD20" s="14"/>
      <c r="AE20" s="14"/>
      <c r="AF20" s="14"/>
      <c r="AG20" s="14"/>
      <c r="AH20" s="32"/>
      <c r="AI20" s="14"/>
      <c r="AJ20" s="14"/>
      <c r="AK20" s="14"/>
      <c r="AL20" s="14"/>
      <c r="AM20" s="14"/>
      <c r="AN20" s="14"/>
    </row>
    <row r="21" spans="1:40">
      <c r="A21" s="88"/>
      <c r="B21" s="91"/>
      <c r="C21" s="3" t="s">
        <v>57</v>
      </c>
      <c r="D21" s="17">
        <v>47010</v>
      </c>
      <c r="E21" s="71">
        <v>417.85</v>
      </c>
      <c r="F21" s="71">
        <v>994.14</v>
      </c>
      <c r="G21" s="71">
        <v>643.67999999999995</v>
      </c>
      <c r="H21" s="71">
        <v>1059.68</v>
      </c>
      <c r="I21" s="71">
        <v>773.17</v>
      </c>
      <c r="J21" s="71">
        <v>1439.74</v>
      </c>
      <c r="K21" s="71">
        <v>-193.8</v>
      </c>
      <c r="L21" s="71">
        <v>-413.3</v>
      </c>
      <c r="M21" s="71">
        <v>674.24</v>
      </c>
      <c r="N21" s="71">
        <v>1107.07</v>
      </c>
      <c r="O21" s="71">
        <v>156.02000000000001</v>
      </c>
      <c r="P21" s="71">
        <v>243.74</v>
      </c>
      <c r="Q21" s="71">
        <v>799.15</v>
      </c>
      <c r="R21" s="71">
        <v>1478.45</v>
      </c>
      <c r="S21" s="71">
        <v>76.83</v>
      </c>
      <c r="T21" s="71">
        <v>77.819999999999993</v>
      </c>
      <c r="U21" s="71">
        <v>15.26</v>
      </c>
      <c r="V21" s="71">
        <v>18.36</v>
      </c>
      <c r="W21" s="71">
        <v>72.790000000000006</v>
      </c>
      <c r="X21" s="71">
        <f t="shared" si="0"/>
        <v>1.5548181405095145</v>
      </c>
      <c r="Y21" s="71">
        <v>62.58</v>
      </c>
      <c r="Z21" s="71">
        <v>30</v>
      </c>
      <c r="AA21" s="71">
        <v>24.67</v>
      </c>
      <c r="AB21" s="71"/>
      <c r="AC21" s="71"/>
      <c r="AD21" s="71"/>
      <c r="AE21" s="18" t="s">
        <v>9</v>
      </c>
      <c r="AF21" s="18"/>
      <c r="AG21" s="18"/>
      <c r="AH21" s="32"/>
      <c r="AI21" s="18"/>
      <c r="AJ21" s="18"/>
      <c r="AK21" s="18"/>
      <c r="AL21" s="18"/>
      <c r="AM21" s="18"/>
      <c r="AN21" s="18"/>
    </row>
    <row r="22" spans="1:40">
      <c r="A22" s="88"/>
      <c r="B22" s="89">
        <v>6</v>
      </c>
      <c r="C22" s="2" t="s">
        <v>55</v>
      </c>
      <c r="D22" s="17">
        <f>D7*6</f>
        <v>56412</v>
      </c>
      <c r="E22" s="13">
        <v>358.71</v>
      </c>
      <c r="F22" s="13">
        <v>920.97</v>
      </c>
      <c r="G22" s="13">
        <v>514.17999999999995</v>
      </c>
      <c r="H22" s="13">
        <v>894.24</v>
      </c>
      <c r="I22" s="13">
        <v>632.35</v>
      </c>
      <c r="J22" s="13">
        <v>1283.69</v>
      </c>
      <c r="K22" s="13">
        <v>-156.96</v>
      </c>
      <c r="L22" s="13">
        <v>-353.45</v>
      </c>
      <c r="M22" s="13">
        <v>539.64</v>
      </c>
      <c r="N22" s="13">
        <v>939.05</v>
      </c>
      <c r="O22" s="13">
        <v>114.68</v>
      </c>
      <c r="P22" s="13">
        <v>192.5</v>
      </c>
      <c r="Q22" s="13">
        <v>653.65</v>
      </c>
      <c r="R22" s="13">
        <v>1315.3</v>
      </c>
      <c r="S22" s="13">
        <v>79.790000000000006</v>
      </c>
      <c r="T22" s="13">
        <v>83.47</v>
      </c>
      <c r="U22" s="13">
        <v>17.48</v>
      </c>
      <c r="V22" s="13">
        <v>19.309999999999999</v>
      </c>
      <c r="W22" s="13">
        <v>69.790000000000006</v>
      </c>
      <c r="X22" s="13">
        <f t="shared" si="0"/>
        <v>1.554398977269867</v>
      </c>
      <c r="Y22" s="13">
        <v>60.98</v>
      </c>
      <c r="Z22" s="13">
        <v>35</v>
      </c>
      <c r="AA22" s="13">
        <v>29.67</v>
      </c>
      <c r="AB22" s="72"/>
      <c r="AC22" s="72"/>
      <c r="AD22" s="72"/>
      <c r="AE22" s="32"/>
      <c r="AF22" s="32"/>
      <c r="AG22" s="32"/>
      <c r="AH22" s="32"/>
      <c r="AI22" s="32"/>
      <c r="AJ22" s="32"/>
      <c r="AK22" s="13"/>
      <c r="AL22" s="13"/>
      <c r="AM22" s="13"/>
      <c r="AN22" s="13"/>
    </row>
    <row r="23" spans="1:40">
      <c r="A23" s="88"/>
      <c r="B23" s="90"/>
      <c r="C23" s="1" t="s">
        <v>56</v>
      </c>
      <c r="D23" s="17">
        <v>56412</v>
      </c>
      <c r="E23" s="14">
        <v>372.97</v>
      </c>
      <c r="F23" s="14">
        <v>795.18</v>
      </c>
      <c r="G23" s="14">
        <v>566.73</v>
      </c>
      <c r="H23" s="14">
        <v>881.17</v>
      </c>
      <c r="I23" s="14">
        <v>685.17</v>
      </c>
      <c r="J23" s="14">
        <v>1186.92</v>
      </c>
      <c r="K23" s="14">
        <v>-143.51</v>
      </c>
      <c r="L23" s="14">
        <v>-279.94</v>
      </c>
      <c r="M23" s="14">
        <v>585.41999999999996</v>
      </c>
      <c r="N23" s="14">
        <v>907.17</v>
      </c>
      <c r="O23" s="14">
        <v>153.65</v>
      </c>
      <c r="P23" s="14">
        <v>217.67</v>
      </c>
      <c r="Q23" s="14">
        <v>700.89</v>
      </c>
      <c r="R23" s="14">
        <v>1206.3399999999999</v>
      </c>
      <c r="S23" s="14">
        <v>75.45</v>
      </c>
      <c r="T23" s="14">
        <v>79.599999999999994</v>
      </c>
      <c r="U23" s="14">
        <v>8.5500000000000007</v>
      </c>
      <c r="V23" s="14">
        <v>9.58</v>
      </c>
      <c r="W23" s="14">
        <v>79.58</v>
      </c>
      <c r="X23" s="14">
        <f t="shared" si="0"/>
        <v>1.552963368119179</v>
      </c>
      <c r="Y23" s="14">
        <v>56.07</v>
      </c>
      <c r="Z23" s="14">
        <v>42</v>
      </c>
      <c r="AA23" s="14">
        <v>35.33</v>
      </c>
      <c r="AB23" s="14"/>
      <c r="AC23" s="14"/>
      <c r="AD23" s="14"/>
      <c r="AE23" s="14"/>
      <c r="AF23" s="14"/>
      <c r="AG23" s="14"/>
      <c r="AH23" s="32"/>
      <c r="AI23" s="14"/>
      <c r="AJ23" s="14"/>
      <c r="AK23" s="14"/>
      <c r="AL23" s="14"/>
      <c r="AM23" s="14"/>
      <c r="AN23" s="14"/>
    </row>
    <row r="24" spans="1:40">
      <c r="A24" s="88"/>
      <c r="B24" s="91"/>
      <c r="C24" s="3" t="s">
        <v>57</v>
      </c>
      <c r="D24" s="17">
        <v>56412</v>
      </c>
      <c r="E24" s="71">
        <v>373.72</v>
      </c>
      <c r="F24" s="71">
        <v>1013.63</v>
      </c>
      <c r="G24" s="71">
        <v>615.53</v>
      </c>
      <c r="H24" s="71">
        <v>1079.01</v>
      </c>
      <c r="I24" s="71">
        <v>729.25</v>
      </c>
      <c r="J24" s="71">
        <v>1480.45</v>
      </c>
      <c r="K24" s="71">
        <v>-191.7</v>
      </c>
      <c r="L24" s="71">
        <v>-499.4</v>
      </c>
      <c r="M24" s="71">
        <v>651.02</v>
      </c>
      <c r="N24" s="71">
        <v>1156.9100000000001</v>
      </c>
      <c r="O24" s="71">
        <v>153.80000000000001</v>
      </c>
      <c r="P24" s="71">
        <v>332.87</v>
      </c>
      <c r="Q24" s="71">
        <v>758.98</v>
      </c>
      <c r="R24" s="71">
        <v>1534.89</v>
      </c>
      <c r="S24" s="71">
        <v>77.56</v>
      </c>
      <c r="T24" s="71">
        <v>81.209999999999994</v>
      </c>
      <c r="U24" s="71">
        <v>15.13</v>
      </c>
      <c r="V24" s="71">
        <v>15.65</v>
      </c>
      <c r="W24" s="71">
        <v>72.58</v>
      </c>
      <c r="X24" s="71">
        <f t="shared" si="0"/>
        <v>1.5544311758017102</v>
      </c>
      <c r="Y24" s="71">
        <v>61.1</v>
      </c>
      <c r="Z24" s="71">
        <v>20</v>
      </c>
      <c r="AA24" s="71">
        <v>16</v>
      </c>
      <c r="AB24" s="71"/>
      <c r="AC24" s="71"/>
      <c r="AD24" s="71"/>
      <c r="AE24" s="18" t="s">
        <v>9</v>
      </c>
      <c r="AF24" s="18"/>
      <c r="AG24" s="18"/>
      <c r="AH24" s="32"/>
      <c r="AI24" s="18"/>
      <c r="AJ24" s="18"/>
      <c r="AK24" s="18"/>
      <c r="AL24" s="18"/>
      <c r="AM24" s="18"/>
      <c r="AN24" s="18"/>
    </row>
    <row r="25" spans="1:40" ht="14.25" customHeight="1">
      <c r="A25" s="88"/>
      <c r="B25" s="89">
        <v>7</v>
      </c>
      <c r="C25" s="2" t="s">
        <v>55</v>
      </c>
      <c r="D25" s="17">
        <f>D7*7</f>
        <v>65814</v>
      </c>
      <c r="E25" s="13">
        <v>360.17</v>
      </c>
      <c r="F25" s="13">
        <v>882.62</v>
      </c>
      <c r="G25" s="13">
        <v>514.62</v>
      </c>
      <c r="H25" s="13">
        <v>881.85</v>
      </c>
      <c r="I25" s="13">
        <v>634.35</v>
      </c>
      <c r="J25" s="13">
        <v>1247.67</v>
      </c>
      <c r="K25" s="13">
        <v>-156.47999999999999</v>
      </c>
      <c r="L25" s="13">
        <v>-327.95</v>
      </c>
      <c r="M25" s="13">
        <v>539.59</v>
      </c>
      <c r="N25" s="13">
        <v>915.84</v>
      </c>
      <c r="O25" s="13">
        <v>114.78</v>
      </c>
      <c r="P25" s="13">
        <v>181.21</v>
      </c>
      <c r="Q25" s="13">
        <v>655.14</v>
      </c>
      <c r="R25" s="13">
        <v>1271.92</v>
      </c>
      <c r="S25" s="13">
        <v>77.33</v>
      </c>
      <c r="T25" s="13">
        <v>79.930000000000007</v>
      </c>
      <c r="U25" s="13">
        <v>11.19</v>
      </c>
      <c r="V25" s="13">
        <v>12.42</v>
      </c>
      <c r="W25" s="13">
        <v>76.5</v>
      </c>
      <c r="X25" s="13">
        <f t="shared" si="0"/>
        <v>1.5530614003092209</v>
      </c>
      <c r="Y25" s="13">
        <v>56.38</v>
      </c>
      <c r="Z25" s="13">
        <v>53</v>
      </c>
      <c r="AA25" s="13">
        <v>40.67</v>
      </c>
      <c r="AB25" s="72"/>
      <c r="AC25" s="72"/>
      <c r="AD25" s="72"/>
      <c r="AE25" s="32"/>
      <c r="AF25" s="32"/>
      <c r="AG25" s="32"/>
      <c r="AH25" s="32"/>
      <c r="AI25" s="32"/>
      <c r="AJ25" s="32"/>
      <c r="AK25" s="13"/>
      <c r="AL25" s="13"/>
      <c r="AM25" s="13"/>
      <c r="AN25" s="13"/>
    </row>
    <row r="26" spans="1:40">
      <c r="A26" s="88"/>
      <c r="B26" s="90"/>
      <c r="C26" s="1" t="s">
        <v>56</v>
      </c>
      <c r="D26" s="17">
        <v>65814</v>
      </c>
      <c r="E26" s="14">
        <v>355.23</v>
      </c>
      <c r="F26" s="14">
        <v>957.85</v>
      </c>
      <c r="G26" s="14">
        <v>592.23</v>
      </c>
      <c r="H26" s="14">
        <v>1034.1099999999999</v>
      </c>
      <c r="I26" s="14">
        <v>699.24</v>
      </c>
      <c r="J26" s="14">
        <v>1401.27</v>
      </c>
      <c r="K26" s="14">
        <v>-166.17</v>
      </c>
      <c r="L26" s="14">
        <v>-393.72</v>
      </c>
      <c r="M26" s="14">
        <v>616.6</v>
      </c>
      <c r="N26" s="14">
        <v>1083.92</v>
      </c>
      <c r="O26" s="14">
        <v>161.6</v>
      </c>
      <c r="P26" s="14">
        <v>254.83</v>
      </c>
      <c r="Q26" s="14">
        <v>720.11</v>
      </c>
      <c r="R26" s="14">
        <v>1440.7</v>
      </c>
      <c r="S26" s="14">
        <v>74.55</v>
      </c>
      <c r="T26" s="14">
        <v>79.209999999999994</v>
      </c>
      <c r="U26" s="14">
        <v>11.07</v>
      </c>
      <c r="V26" s="14">
        <v>12.54</v>
      </c>
      <c r="W26" s="14">
        <v>77.180000000000007</v>
      </c>
      <c r="X26" s="14">
        <f t="shared" si="0"/>
        <v>1.5542716370485314</v>
      </c>
      <c r="Y26" s="14">
        <v>60.51</v>
      </c>
      <c r="Z26" s="14">
        <v>45</v>
      </c>
      <c r="AA26" s="14">
        <v>37</v>
      </c>
      <c r="AB26" s="14"/>
      <c r="AC26" s="14"/>
      <c r="AD26" s="14"/>
      <c r="AE26" s="14"/>
      <c r="AF26" s="14"/>
      <c r="AG26" s="14"/>
      <c r="AH26" s="32"/>
      <c r="AI26" s="14"/>
      <c r="AJ26" s="14"/>
      <c r="AK26" s="14"/>
      <c r="AL26" s="14"/>
      <c r="AM26" s="14"/>
      <c r="AN26" s="14"/>
    </row>
    <row r="27" spans="1:40">
      <c r="A27" s="88"/>
      <c r="B27" s="91"/>
      <c r="C27" s="3" t="s">
        <v>57</v>
      </c>
      <c r="D27" s="17">
        <v>65814</v>
      </c>
      <c r="E27" s="71">
        <v>346.19</v>
      </c>
      <c r="F27" s="71">
        <v>988.07</v>
      </c>
      <c r="G27" s="71">
        <v>535.35</v>
      </c>
      <c r="H27" s="71">
        <v>1035.01</v>
      </c>
      <c r="I27" s="71">
        <v>645.01</v>
      </c>
      <c r="J27" s="71">
        <v>1418.54</v>
      </c>
      <c r="K27" s="71">
        <v>-145.19</v>
      </c>
      <c r="L27" s="71">
        <v>-418.56</v>
      </c>
      <c r="M27" s="71">
        <v>559.97</v>
      </c>
      <c r="N27" s="71">
        <v>1084.27</v>
      </c>
      <c r="O27" s="71">
        <v>140.84</v>
      </c>
      <c r="P27" s="71">
        <v>266.70999999999998</v>
      </c>
      <c r="Q27" s="71">
        <v>665.16</v>
      </c>
      <c r="R27" s="71">
        <v>1466.95</v>
      </c>
      <c r="S27" s="71">
        <v>75.62</v>
      </c>
      <c r="T27" s="71">
        <v>80.760000000000005</v>
      </c>
      <c r="U27" s="71">
        <v>10.93</v>
      </c>
      <c r="V27" s="71">
        <v>12.5</v>
      </c>
      <c r="W27" s="71">
        <v>77.08</v>
      </c>
      <c r="X27" s="71">
        <f t="shared" si="0"/>
        <v>1.5537331365680036</v>
      </c>
      <c r="Y27" s="71">
        <v>58.6</v>
      </c>
      <c r="Z27" s="71">
        <v>24</v>
      </c>
      <c r="AA27" s="71">
        <v>23</v>
      </c>
      <c r="AB27" s="71"/>
      <c r="AC27" s="71"/>
      <c r="AD27" s="71"/>
      <c r="AE27" s="18" t="s">
        <v>9</v>
      </c>
      <c r="AF27" s="18"/>
      <c r="AG27" s="18"/>
      <c r="AH27" s="32"/>
      <c r="AI27" s="18"/>
      <c r="AJ27" s="18"/>
      <c r="AK27" s="18"/>
      <c r="AL27" s="18"/>
      <c r="AM27" s="18"/>
      <c r="AN27" s="18"/>
    </row>
    <row r="28" spans="1:40">
      <c r="A28" s="88"/>
      <c r="B28" s="89">
        <v>8</v>
      </c>
      <c r="C28" s="2" t="s">
        <v>55</v>
      </c>
      <c r="D28" s="17">
        <f>D7*8</f>
        <v>75216</v>
      </c>
      <c r="E28" s="13">
        <v>352.94</v>
      </c>
      <c r="F28" s="13">
        <v>862.35</v>
      </c>
      <c r="G28" s="13">
        <v>517.83000000000004</v>
      </c>
      <c r="H28" s="13">
        <v>881.46</v>
      </c>
      <c r="I28" s="13">
        <v>631.92999999999995</v>
      </c>
      <c r="J28" s="13">
        <v>1233.1300000000001</v>
      </c>
      <c r="K28" s="13">
        <v>-155.71</v>
      </c>
      <c r="L28" s="13">
        <v>-319.86</v>
      </c>
      <c r="M28" s="13">
        <v>542.29999999999995</v>
      </c>
      <c r="N28" s="13">
        <v>922.91</v>
      </c>
      <c r="O28" s="13">
        <v>119.9</v>
      </c>
      <c r="P28" s="13">
        <v>176.8</v>
      </c>
      <c r="Q28" s="13">
        <v>652.49</v>
      </c>
      <c r="R28" s="13">
        <v>1263.0899999999999</v>
      </c>
      <c r="S28" s="13">
        <v>77.84</v>
      </c>
      <c r="T28" s="13">
        <v>81.98</v>
      </c>
      <c r="U28" s="13">
        <v>10.14</v>
      </c>
      <c r="V28" s="13">
        <v>11.34</v>
      </c>
      <c r="W28" s="13">
        <v>77.41</v>
      </c>
      <c r="X28" s="13">
        <f t="shared" si="0"/>
        <v>1.5524261722855512</v>
      </c>
      <c r="Y28" s="13">
        <v>54.43</v>
      </c>
      <c r="Z28" s="13">
        <v>56</v>
      </c>
      <c r="AA28" s="13">
        <v>46</v>
      </c>
      <c r="AB28" s="72"/>
      <c r="AC28" s="72"/>
      <c r="AD28" s="72"/>
      <c r="AE28" s="32"/>
      <c r="AF28" s="32"/>
      <c r="AG28" s="32"/>
      <c r="AH28" s="32"/>
      <c r="AI28" s="32"/>
      <c r="AJ28" s="32"/>
      <c r="AK28" s="13"/>
      <c r="AL28" s="13"/>
      <c r="AM28" s="13"/>
      <c r="AN28" s="13"/>
    </row>
    <row r="29" spans="1:40">
      <c r="A29" s="88"/>
      <c r="B29" s="90"/>
      <c r="C29" s="1" t="s">
        <v>56</v>
      </c>
      <c r="D29" s="17">
        <v>75216</v>
      </c>
      <c r="E29" s="14">
        <v>366.15</v>
      </c>
      <c r="F29" s="14">
        <v>980.66</v>
      </c>
      <c r="G29" s="14">
        <v>611.41</v>
      </c>
      <c r="H29" s="14">
        <v>1069.28</v>
      </c>
      <c r="I29" s="14">
        <v>721.41</v>
      </c>
      <c r="J29" s="14">
        <v>1450.88</v>
      </c>
      <c r="K29" s="14">
        <v>-170.85</v>
      </c>
      <c r="L29" s="14">
        <v>-418.6</v>
      </c>
      <c r="M29" s="14">
        <v>636.22</v>
      </c>
      <c r="N29" s="14">
        <v>1122.47</v>
      </c>
      <c r="O29" s="14">
        <v>167.5</v>
      </c>
      <c r="P29" s="14">
        <v>233.17</v>
      </c>
      <c r="Q29" s="14">
        <v>742.67</v>
      </c>
      <c r="R29" s="14">
        <v>1490.51</v>
      </c>
      <c r="S29" s="14">
        <v>73.33</v>
      </c>
      <c r="T29" s="14">
        <v>79.52</v>
      </c>
      <c r="U29" s="14">
        <v>11.04</v>
      </c>
      <c r="V29" s="14">
        <v>12.67</v>
      </c>
      <c r="W29" s="14">
        <v>77.33</v>
      </c>
      <c r="X29" s="14">
        <f t="shared" si="0"/>
        <v>1.5547823210974963</v>
      </c>
      <c r="Y29" s="14">
        <v>62.44</v>
      </c>
      <c r="Z29" s="14">
        <v>50</v>
      </c>
      <c r="AA29" s="14">
        <v>42</v>
      </c>
      <c r="AB29" s="14"/>
      <c r="AC29" s="14"/>
      <c r="AD29" s="14"/>
      <c r="AE29" s="14"/>
      <c r="AF29" s="14"/>
      <c r="AG29" s="14"/>
      <c r="AH29" s="32"/>
      <c r="AI29" s="14"/>
      <c r="AJ29" s="14"/>
      <c r="AK29" s="14"/>
      <c r="AL29" s="14"/>
      <c r="AM29" s="14"/>
      <c r="AN29" s="14"/>
    </row>
    <row r="30" spans="1:40">
      <c r="A30" s="88"/>
      <c r="B30" s="91"/>
      <c r="C30" s="3" t="s">
        <v>57</v>
      </c>
      <c r="D30" s="17">
        <v>75216</v>
      </c>
      <c r="E30" s="71">
        <v>382.45</v>
      </c>
      <c r="F30" s="71">
        <v>966.46</v>
      </c>
      <c r="G30" s="71">
        <v>598.35</v>
      </c>
      <c r="H30" s="71">
        <v>1001.26</v>
      </c>
      <c r="I30" s="71">
        <v>718.05</v>
      </c>
      <c r="J30" s="71">
        <v>1391.6</v>
      </c>
      <c r="K30" s="71">
        <v>-180.36</v>
      </c>
      <c r="L30" s="71">
        <v>-361.37</v>
      </c>
      <c r="M30" s="71">
        <v>627.16</v>
      </c>
      <c r="N30" s="71">
        <v>1048.42</v>
      </c>
      <c r="O30" s="71">
        <v>146.93</v>
      </c>
      <c r="P30" s="71">
        <v>246.11</v>
      </c>
      <c r="Q30" s="71">
        <v>742.17</v>
      </c>
      <c r="R30" s="71">
        <v>1425.91</v>
      </c>
      <c r="S30" s="71">
        <v>75.790000000000006</v>
      </c>
      <c r="T30" s="71">
        <v>80.13</v>
      </c>
      <c r="U30" s="71">
        <v>13.17</v>
      </c>
      <c r="V30" s="71">
        <v>15.11</v>
      </c>
      <c r="W30" s="71">
        <v>74.92</v>
      </c>
      <c r="X30" s="71">
        <f t="shared" si="0"/>
        <v>1.5544845599567083</v>
      </c>
      <c r="Y30" s="71">
        <v>61.3</v>
      </c>
      <c r="Z30" s="71">
        <v>30</v>
      </c>
      <c r="AA30" s="71">
        <v>25.67</v>
      </c>
      <c r="AB30" s="71"/>
      <c r="AC30" s="71"/>
      <c r="AD30" s="71"/>
      <c r="AE30" s="18" t="s">
        <v>9</v>
      </c>
      <c r="AF30" s="18"/>
      <c r="AG30" s="18"/>
      <c r="AH30" s="32"/>
      <c r="AI30" s="18"/>
      <c r="AJ30" s="18"/>
      <c r="AK30" s="18"/>
      <c r="AL30" s="18"/>
      <c r="AM30" s="18"/>
      <c r="AN30" s="18"/>
    </row>
    <row r="31" spans="1:40">
      <c r="A31" s="88"/>
      <c r="B31" s="89">
        <v>9</v>
      </c>
      <c r="C31" s="2" t="s">
        <v>55</v>
      </c>
      <c r="D31" s="17">
        <f>D7*9</f>
        <v>84618</v>
      </c>
      <c r="E31" s="13">
        <v>378.28</v>
      </c>
      <c r="F31" s="13">
        <v>896.61</v>
      </c>
      <c r="G31" s="13">
        <v>546.62</v>
      </c>
      <c r="H31" s="13">
        <v>930.71</v>
      </c>
      <c r="I31" s="13">
        <v>672.04</v>
      </c>
      <c r="J31" s="13">
        <v>1292.3399999999999</v>
      </c>
      <c r="K31" s="13">
        <v>-166.33</v>
      </c>
      <c r="L31" s="13">
        <v>-379.25</v>
      </c>
      <c r="M31" s="13">
        <v>572.66</v>
      </c>
      <c r="N31" s="13">
        <v>963.64</v>
      </c>
      <c r="O31" s="13">
        <v>123.3</v>
      </c>
      <c r="P31" s="13">
        <v>206.74</v>
      </c>
      <c r="Q31" s="13">
        <v>693.88</v>
      </c>
      <c r="R31" s="13">
        <v>1316.25</v>
      </c>
      <c r="S31" s="13">
        <v>78.11</v>
      </c>
      <c r="T31" s="13">
        <v>82.26</v>
      </c>
      <c r="U31" s="13">
        <v>12.28</v>
      </c>
      <c r="V31" s="13">
        <v>13.53</v>
      </c>
      <c r="W31" s="13">
        <v>75.09</v>
      </c>
      <c r="X31" s="13">
        <f t="shared" si="0"/>
        <v>1.5531365591855495</v>
      </c>
      <c r="Y31" s="13">
        <v>56.62</v>
      </c>
      <c r="Z31" s="13">
        <v>64</v>
      </c>
      <c r="AA31" s="13">
        <v>52.33</v>
      </c>
      <c r="AB31" s="72"/>
      <c r="AC31" s="72"/>
      <c r="AD31" s="72"/>
      <c r="AE31" s="32"/>
      <c r="AF31" s="32"/>
      <c r="AG31" s="32"/>
      <c r="AH31" s="32"/>
      <c r="AI31" s="32"/>
      <c r="AJ31" s="32"/>
      <c r="AK31" s="13"/>
      <c r="AL31" s="13"/>
      <c r="AM31" s="13"/>
      <c r="AN31" s="13"/>
    </row>
    <row r="32" spans="1:40">
      <c r="A32" s="88"/>
      <c r="B32" s="90"/>
      <c r="C32" s="1" t="s">
        <v>56</v>
      </c>
      <c r="D32" s="17">
        <v>84618</v>
      </c>
      <c r="E32" s="14">
        <v>361.18</v>
      </c>
      <c r="F32" s="14">
        <v>980.79</v>
      </c>
      <c r="G32" s="14">
        <v>625.19000000000005</v>
      </c>
      <c r="H32" s="14">
        <v>1084.48</v>
      </c>
      <c r="I32" s="14">
        <v>730.79</v>
      </c>
      <c r="J32" s="14">
        <v>1462.21</v>
      </c>
      <c r="K32" s="14">
        <v>-172.64</v>
      </c>
      <c r="L32" s="14">
        <v>-403.85</v>
      </c>
      <c r="M32" s="14">
        <v>649.97</v>
      </c>
      <c r="N32" s="14">
        <v>1135.21</v>
      </c>
      <c r="O32" s="14">
        <v>177.17</v>
      </c>
      <c r="P32" s="14">
        <v>249.06</v>
      </c>
      <c r="Q32" s="14">
        <v>752.33</v>
      </c>
      <c r="R32" s="14">
        <v>1500.22</v>
      </c>
      <c r="S32" s="14">
        <v>76.290000000000006</v>
      </c>
      <c r="T32" s="14">
        <v>80.69</v>
      </c>
      <c r="U32" s="14">
        <v>15.78</v>
      </c>
      <c r="V32" s="14">
        <v>17.8</v>
      </c>
      <c r="W32" s="14">
        <v>72.25</v>
      </c>
      <c r="X32" s="14">
        <f t="shared" si="0"/>
        <v>1.5552430624610587</v>
      </c>
      <c r="Y32" s="14">
        <v>64.290000000000006</v>
      </c>
      <c r="Z32" s="14">
        <v>55</v>
      </c>
      <c r="AA32" s="14">
        <v>43.33</v>
      </c>
      <c r="AB32" s="14"/>
      <c r="AC32" s="14"/>
      <c r="AD32" s="14"/>
      <c r="AE32" s="14"/>
      <c r="AF32" s="14"/>
      <c r="AG32" s="14"/>
      <c r="AH32" s="32"/>
      <c r="AI32" s="14"/>
      <c r="AJ32" s="14"/>
      <c r="AK32" s="14"/>
      <c r="AL32" s="14"/>
      <c r="AM32" s="14"/>
      <c r="AN32" s="14"/>
    </row>
    <row r="33" spans="1:40">
      <c r="A33" s="88"/>
      <c r="B33" s="91"/>
      <c r="C33" s="3" t="s">
        <v>57</v>
      </c>
      <c r="D33" s="17">
        <v>84618</v>
      </c>
      <c r="E33" s="71">
        <v>369.22</v>
      </c>
      <c r="F33" s="71">
        <v>981.63</v>
      </c>
      <c r="G33" s="71">
        <v>605.20000000000005</v>
      </c>
      <c r="H33" s="71">
        <v>1047.71</v>
      </c>
      <c r="I33" s="71">
        <v>716.63</v>
      </c>
      <c r="J33" s="71">
        <v>1435.72</v>
      </c>
      <c r="K33" s="71">
        <v>-167.97</v>
      </c>
      <c r="L33" s="71">
        <v>-422.23</v>
      </c>
      <c r="M33" s="71">
        <v>631.28</v>
      </c>
      <c r="N33" s="71">
        <v>1096.8599999999999</v>
      </c>
      <c r="O33" s="71">
        <v>164.25</v>
      </c>
      <c r="P33" s="71">
        <v>280.91000000000003</v>
      </c>
      <c r="Q33" s="71">
        <v>739.2</v>
      </c>
      <c r="R33" s="71">
        <v>1471.97</v>
      </c>
      <c r="S33" s="71">
        <v>75.5</v>
      </c>
      <c r="T33" s="71">
        <v>77.38</v>
      </c>
      <c r="U33" s="71">
        <v>14.86</v>
      </c>
      <c r="V33" s="71">
        <v>17.91</v>
      </c>
      <c r="W33" s="71">
        <v>73.45</v>
      </c>
      <c r="X33" s="71">
        <f t="shared" si="0"/>
        <v>1.555187229323159</v>
      </c>
      <c r="Y33" s="71">
        <v>64.06</v>
      </c>
      <c r="Z33" s="71">
        <v>50</v>
      </c>
      <c r="AA33" s="71">
        <v>35.67</v>
      </c>
      <c r="AB33" s="71"/>
      <c r="AC33" s="71"/>
      <c r="AD33" s="71"/>
      <c r="AE33" s="18" t="s">
        <v>9</v>
      </c>
      <c r="AF33" s="18"/>
      <c r="AG33" s="18"/>
      <c r="AH33" s="32"/>
      <c r="AI33" s="18"/>
      <c r="AJ33" s="18"/>
      <c r="AK33" s="18"/>
      <c r="AL33" s="18"/>
      <c r="AM33" s="18"/>
      <c r="AN33" s="18"/>
    </row>
    <row r="34" spans="1:40">
      <c r="A34" s="88"/>
      <c r="B34" s="89">
        <v>10</v>
      </c>
      <c r="C34" s="2" t="s">
        <v>55</v>
      </c>
      <c r="D34" s="17">
        <f>D7*10</f>
        <v>94020</v>
      </c>
      <c r="E34" s="13">
        <v>376.56</v>
      </c>
      <c r="F34" s="13">
        <v>978.4</v>
      </c>
      <c r="G34" s="13">
        <v>552.85</v>
      </c>
      <c r="H34" s="13">
        <v>1008.68</v>
      </c>
      <c r="I34" s="13">
        <v>674.85</v>
      </c>
      <c r="J34" s="13">
        <v>1405.24</v>
      </c>
      <c r="K34" s="13">
        <v>-163.81</v>
      </c>
      <c r="L34" s="13">
        <v>-398.04</v>
      </c>
      <c r="M34" s="13">
        <v>578.67999999999995</v>
      </c>
      <c r="N34" s="13">
        <v>1055.51</v>
      </c>
      <c r="O34" s="13">
        <v>129.71</v>
      </c>
      <c r="P34" s="13">
        <v>209.11</v>
      </c>
      <c r="Q34" s="13">
        <v>696.57</v>
      </c>
      <c r="R34" s="13">
        <v>1439.22</v>
      </c>
      <c r="S34" s="13">
        <v>77.47</v>
      </c>
      <c r="T34" s="13">
        <v>81.400000000000006</v>
      </c>
      <c r="U34" s="13">
        <v>10.44</v>
      </c>
      <c r="V34" s="13">
        <v>11.56</v>
      </c>
      <c r="W34" s="13">
        <v>77.2</v>
      </c>
      <c r="X34" s="13">
        <f t="shared" si="0"/>
        <v>1.5527412286466713</v>
      </c>
      <c r="Y34" s="13">
        <v>55.38</v>
      </c>
      <c r="Z34" s="13">
        <v>86</v>
      </c>
      <c r="AA34" s="13">
        <v>62.33</v>
      </c>
      <c r="AB34" s="72"/>
      <c r="AC34" s="72"/>
      <c r="AD34" s="72"/>
      <c r="AE34" s="32"/>
      <c r="AF34" s="32"/>
      <c r="AG34" s="32"/>
      <c r="AH34" s="32"/>
      <c r="AI34" s="32"/>
      <c r="AJ34" s="32"/>
      <c r="AK34" s="13"/>
      <c r="AL34" s="13"/>
      <c r="AM34" s="13"/>
      <c r="AN34" s="13"/>
    </row>
    <row r="35" spans="1:40">
      <c r="A35" s="88"/>
      <c r="B35" s="90"/>
      <c r="C35" s="1" t="s">
        <v>56</v>
      </c>
      <c r="D35" s="17">
        <v>94020</v>
      </c>
      <c r="E35" s="14">
        <v>363.48</v>
      </c>
      <c r="F35" s="14">
        <v>963.14</v>
      </c>
      <c r="G35" s="14">
        <v>654.03</v>
      </c>
      <c r="H35" s="14">
        <v>1115.57</v>
      </c>
      <c r="I35" s="14">
        <v>756.85</v>
      </c>
      <c r="J35" s="14">
        <v>1473.81</v>
      </c>
      <c r="K35" s="14">
        <v>-186.48</v>
      </c>
      <c r="L35" s="14">
        <v>-408.6</v>
      </c>
      <c r="M35" s="14">
        <v>681.5</v>
      </c>
      <c r="N35" s="14">
        <v>1171.6099999999999</v>
      </c>
      <c r="O35" s="14">
        <v>186.36</v>
      </c>
      <c r="P35" s="14">
        <v>257.36</v>
      </c>
      <c r="Q35" s="14">
        <v>780.96</v>
      </c>
      <c r="R35" s="14">
        <v>1516.67</v>
      </c>
      <c r="S35" s="14">
        <v>74.64</v>
      </c>
      <c r="T35" s="14">
        <v>77.84</v>
      </c>
      <c r="U35" s="14">
        <v>13.63</v>
      </c>
      <c r="V35" s="14">
        <v>15.15</v>
      </c>
      <c r="W35" s="14">
        <v>74.650000000000006</v>
      </c>
      <c r="X35" s="14">
        <f t="shared" si="0"/>
        <v>1.5551408030718545</v>
      </c>
      <c r="Y35" s="14">
        <v>63.87</v>
      </c>
      <c r="Z35" s="14">
        <v>73</v>
      </c>
      <c r="AA35" s="14">
        <v>58.67</v>
      </c>
      <c r="AB35" s="14"/>
      <c r="AC35" s="14"/>
      <c r="AD35" s="14"/>
      <c r="AE35" s="14"/>
      <c r="AF35" s="14"/>
      <c r="AG35" s="14"/>
      <c r="AH35" s="32"/>
      <c r="AI35" s="14"/>
      <c r="AJ35" s="14"/>
      <c r="AK35" s="14"/>
      <c r="AL35" s="14"/>
      <c r="AM35" s="14"/>
      <c r="AN35" s="14"/>
    </row>
    <row r="36" spans="1:40">
      <c r="A36" s="88"/>
      <c r="B36" s="91"/>
      <c r="C36" s="3" t="s">
        <v>57</v>
      </c>
      <c r="D36" s="17">
        <v>94020</v>
      </c>
      <c r="E36" s="71">
        <v>360.76</v>
      </c>
      <c r="F36" s="71">
        <v>1025.3699999999999</v>
      </c>
      <c r="G36" s="71">
        <v>594.42999999999995</v>
      </c>
      <c r="H36" s="71">
        <v>1060.53</v>
      </c>
      <c r="I36" s="71">
        <v>703.22</v>
      </c>
      <c r="J36" s="71">
        <v>1458.71</v>
      </c>
      <c r="K36" s="71">
        <v>-169.96</v>
      </c>
      <c r="L36" s="71">
        <v>-408.18</v>
      </c>
      <c r="M36" s="71">
        <v>622.15</v>
      </c>
      <c r="N36" s="71">
        <v>1113.92</v>
      </c>
      <c r="O36" s="71">
        <v>158.65</v>
      </c>
      <c r="P36" s="71">
        <v>294.60000000000002</v>
      </c>
      <c r="Q36" s="71">
        <v>727.08</v>
      </c>
      <c r="R36" s="71">
        <v>1509.42</v>
      </c>
      <c r="S36" s="71">
        <v>76.39</v>
      </c>
      <c r="T36" s="71">
        <v>78.099999999999994</v>
      </c>
      <c r="U36" s="71">
        <v>13.61</v>
      </c>
      <c r="V36" s="71">
        <v>18.03</v>
      </c>
      <c r="W36" s="71">
        <v>73.45</v>
      </c>
      <c r="X36" s="71">
        <f t="shared" si="0"/>
        <v>1.5547463407407305</v>
      </c>
      <c r="Y36" s="71">
        <v>62.3</v>
      </c>
      <c r="Z36" s="71">
        <v>47</v>
      </c>
      <c r="AA36" s="71">
        <v>37</v>
      </c>
      <c r="AB36" s="71"/>
      <c r="AC36" s="71"/>
      <c r="AD36" s="71"/>
      <c r="AE36" s="18" t="s">
        <v>9</v>
      </c>
      <c r="AF36" s="18"/>
      <c r="AG36" s="18"/>
      <c r="AH36" s="32"/>
      <c r="AI36" s="18"/>
      <c r="AJ36" s="18"/>
      <c r="AK36" s="18"/>
      <c r="AL36" s="18"/>
      <c r="AM36" s="18"/>
      <c r="AN36" s="18"/>
    </row>
    <row r="37" spans="1:40">
      <c r="A37" s="88"/>
      <c r="B37" s="89">
        <v>11</v>
      </c>
      <c r="C37" s="2" t="s">
        <v>55</v>
      </c>
      <c r="D37" s="17">
        <f>D7*11</f>
        <v>103422</v>
      </c>
      <c r="E37" s="13">
        <v>213.54</v>
      </c>
      <c r="F37" s="13">
        <v>919.12</v>
      </c>
      <c r="G37" s="13">
        <v>524.1</v>
      </c>
      <c r="H37" s="13">
        <v>1188.5</v>
      </c>
      <c r="I37" s="13">
        <v>584.47</v>
      </c>
      <c r="J37" s="13">
        <v>1449.28</v>
      </c>
      <c r="K37" s="13">
        <v>-230.52</v>
      </c>
      <c r="L37" s="13">
        <v>-409.55</v>
      </c>
      <c r="M37" s="13">
        <v>577.46</v>
      </c>
      <c r="N37" s="13">
        <v>1336.6</v>
      </c>
      <c r="O37" s="13">
        <v>122.03</v>
      </c>
      <c r="P37" s="13">
        <v>235.18</v>
      </c>
      <c r="Q37" s="13">
        <v>634.71</v>
      </c>
      <c r="R37" s="13">
        <v>1525.28</v>
      </c>
      <c r="S37" s="13">
        <v>78.959999999999994</v>
      </c>
      <c r="T37" s="13">
        <v>82.03</v>
      </c>
      <c r="U37" s="13">
        <v>15.82</v>
      </c>
      <c r="V37" s="13">
        <v>18.64</v>
      </c>
      <c r="W37" s="13">
        <v>71.62</v>
      </c>
      <c r="X37" s="13">
        <f t="shared" si="0"/>
        <v>1.5541339796247142</v>
      </c>
      <c r="Y37" s="13">
        <v>60.01</v>
      </c>
      <c r="Z37" s="13">
        <v>99</v>
      </c>
      <c r="AA37" s="13">
        <v>74.67</v>
      </c>
      <c r="AB37" s="72"/>
      <c r="AC37" s="72"/>
      <c r="AD37" s="72"/>
      <c r="AE37" s="32"/>
      <c r="AF37" s="32"/>
      <c r="AG37" s="32"/>
      <c r="AH37" s="32"/>
      <c r="AI37" s="32"/>
      <c r="AJ37" s="32"/>
      <c r="AK37" s="13"/>
      <c r="AL37" s="13"/>
      <c r="AM37" s="13"/>
      <c r="AN37" s="13"/>
    </row>
    <row r="38" spans="1:40">
      <c r="A38" s="88"/>
      <c r="B38" s="90"/>
      <c r="C38" s="1" t="s">
        <v>56</v>
      </c>
      <c r="D38" s="17">
        <v>103422</v>
      </c>
      <c r="E38" s="14">
        <v>351.99</v>
      </c>
      <c r="F38" s="14">
        <v>978.51</v>
      </c>
      <c r="G38" s="14">
        <v>632.04999999999995</v>
      </c>
      <c r="H38" s="14">
        <v>1141.51</v>
      </c>
      <c r="I38" s="14">
        <v>732.3</v>
      </c>
      <c r="J38" s="14">
        <v>1503.5</v>
      </c>
      <c r="K38" s="14">
        <v>-170.6</v>
      </c>
      <c r="L38" s="14">
        <v>-415.93</v>
      </c>
      <c r="M38" s="14">
        <v>656.23</v>
      </c>
      <c r="N38" s="14">
        <v>1194.0999999999999</v>
      </c>
      <c r="O38" s="14">
        <v>186.23</v>
      </c>
      <c r="P38" s="14">
        <v>277.47000000000003</v>
      </c>
      <c r="Q38" s="14">
        <v>753.41</v>
      </c>
      <c r="R38" s="14">
        <v>1543.81</v>
      </c>
      <c r="S38" s="14">
        <v>73.81</v>
      </c>
      <c r="T38" s="14">
        <v>78.37</v>
      </c>
      <c r="U38" s="14">
        <v>13.33</v>
      </c>
      <c r="V38" s="14">
        <v>14.7</v>
      </c>
      <c r="W38" s="14">
        <v>75.150000000000006</v>
      </c>
      <c r="X38" s="14">
        <f t="shared" si="0"/>
        <v>1.5553392181537529</v>
      </c>
      <c r="Y38" s="14">
        <v>64.69</v>
      </c>
      <c r="Z38" s="14">
        <v>79</v>
      </c>
      <c r="AA38" s="14">
        <v>59.67</v>
      </c>
      <c r="AB38" s="14"/>
      <c r="AC38" s="14"/>
      <c r="AD38" s="14"/>
      <c r="AE38" s="14"/>
      <c r="AF38" s="14"/>
      <c r="AG38" s="14"/>
      <c r="AH38" s="32"/>
      <c r="AI38" s="14"/>
      <c r="AJ38" s="14"/>
      <c r="AK38" s="14"/>
      <c r="AL38" s="14"/>
      <c r="AM38" s="14"/>
      <c r="AN38" s="14"/>
    </row>
    <row r="39" spans="1:40">
      <c r="A39" s="88"/>
      <c r="B39" s="91"/>
      <c r="C39" s="3" t="s">
        <v>57</v>
      </c>
      <c r="D39" s="17">
        <v>103422</v>
      </c>
      <c r="E39" s="71">
        <v>356.03</v>
      </c>
      <c r="F39" s="71">
        <v>981.54</v>
      </c>
      <c r="G39" s="71">
        <v>579.24</v>
      </c>
      <c r="H39" s="71">
        <v>1032.01</v>
      </c>
      <c r="I39" s="71">
        <v>688.41</v>
      </c>
      <c r="J39" s="71">
        <v>1424.24</v>
      </c>
      <c r="K39" s="71">
        <v>-155.84</v>
      </c>
      <c r="L39" s="71">
        <v>-386.53</v>
      </c>
      <c r="M39" s="71">
        <v>603.94000000000005</v>
      </c>
      <c r="N39" s="71">
        <v>1085.22</v>
      </c>
      <c r="O39" s="71">
        <v>159.56</v>
      </c>
      <c r="P39" s="71">
        <v>271.25</v>
      </c>
      <c r="Q39" s="71">
        <v>709.51</v>
      </c>
      <c r="R39" s="71">
        <v>1463.25</v>
      </c>
      <c r="S39" s="71">
        <v>76.489999999999995</v>
      </c>
      <c r="T39" s="71">
        <v>80.790000000000006</v>
      </c>
      <c r="U39" s="71">
        <v>11.74</v>
      </c>
      <c r="V39" s="71">
        <v>13.56</v>
      </c>
      <c r="W39" s="71">
        <v>76.010000000000005</v>
      </c>
      <c r="X39" s="71">
        <f t="shared" si="0"/>
        <v>1.5536659142357938</v>
      </c>
      <c r="Y39" s="71">
        <v>58.37</v>
      </c>
      <c r="Z39" s="71">
        <v>49</v>
      </c>
      <c r="AA39" s="71">
        <v>41</v>
      </c>
      <c r="AB39" s="71"/>
      <c r="AC39" s="71"/>
      <c r="AD39" s="71"/>
      <c r="AE39" s="18" t="s">
        <v>9</v>
      </c>
      <c r="AF39" s="18"/>
      <c r="AG39" s="18"/>
      <c r="AH39" s="32"/>
      <c r="AI39" s="18"/>
      <c r="AJ39" s="18"/>
      <c r="AK39" s="18"/>
      <c r="AL39" s="18"/>
      <c r="AM39" s="18"/>
      <c r="AN39" s="18"/>
    </row>
    <row r="40" spans="1:40">
      <c r="A40" s="88"/>
      <c r="B40" s="89">
        <v>12</v>
      </c>
      <c r="C40" s="2" t="s">
        <v>55</v>
      </c>
      <c r="D40" s="17">
        <f>D7*12</f>
        <v>112824</v>
      </c>
      <c r="E40" s="13">
        <v>366.85</v>
      </c>
      <c r="F40" s="13">
        <v>950.86</v>
      </c>
      <c r="G40" s="13">
        <v>613.79999999999995</v>
      </c>
      <c r="H40" s="13">
        <v>1115.08</v>
      </c>
      <c r="I40" s="13">
        <v>724.1</v>
      </c>
      <c r="J40" s="13">
        <v>1434.12</v>
      </c>
      <c r="K40" s="13">
        <v>-206.72</v>
      </c>
      <c r="L40" s="13">
        <v>-489.04</v>
      </c>
      <c r="M40" s="13">
        <v>649.65</v>
      </c>
      <c r="N40" s="13">
        <v>1198.28</v>
      </c>
      <c r="O40" s="13">
        <v>145.02000000000001</v>
      </c>
      <c r="P40" s="13">
        <v>215.98</v>
      </c>
      <c r="Q40" s="13">
        <v>755.21</v>
      </c>
      <c r="R40" s="13">
        <v>1499.73</v>
      </c>
      <c r="S40" s="13">
        <v>79.430000000000007</v>
      </c>
      <c r="T40" s="13">
        <v>83.37</v>
      </c>
      <c r="U40" s="13">
        <v>16.55</v>
      </c>
      <c r="V40" s="13">
        <v>17.59</v>
      </c>
      <c r="W40" s="13">
        <v>70.7</v>
      </c>
      <c r="X40" s="13">
        <f t="shared" si="0"/>
        <v>1.5542168479033789</v>
      </c>
      <c r="Y40" s="13">
        <v>60.31</v>
      </c>
      <c r="Z40" s="13">
        <v>104</v>
      </c>
      <c r="AA40" s="13">
        <v>83.33</v>
      </c>
      <c r="AB40" s="72"/>
      <c r="AC40" s="72"/>
      <c r="AD40" s="72"/>
      <c r="AE40" s="32"/>
      <c r="AF40" s="32"/>
      <c r="AG40" s="32"/>
      <c r="AH40" s="32"/>
      <c r="AI40" s="32"/>
      <c r="AJ40" s="32"/>
      <c r="AK40" s="13"/>
      <c r="AL40" s="13"/>
      <c r="AM40" s="13"/>
      <c r="AN40" s="13"/>
    </row>
    <row r="41" spans="1:40">
      <c r="A41" s="88"/>
      <c r="B41" s="90"/>
      <c r="C41" s="1" t="s">
        <v>56</v>
      </c>
      <c r="D41" s="17">
        <v>112824</v>
      </c>
      <c r="E41" s="14">
        <v>376.23</v>
      </c>
      <c r="F41" s="14">
        <v>937.71</v>
      </c>
      <c r="G41" s="14">
        <v>656.68</v>
      </c>
      <c r="H41" s="14">
        <v>1106.71</v>
      </c>
      <c r="I41" s="14">
        <v>766.59</v>
      </c>
      <c r="J41" s="14">
        <v>1450.56</v>
      </c>
      <c r="K41" s="14">
        <v>-156.62</v>
      </c>
      <c r="L41" s="14">
        <v>-361.6</v>
      </c>
      <c r="M41" s="14">
        <v>676.29</v>
      </c>
      <c r="N41" s="14">
        <v>1145.55</v>
      </c>
      <c r="O41" s="14">
        <v>203.59</v>
      </c>
      <c r="P41" s="14">
        <v>279.74</v>
      </c>
      <c r="Q41" s="14">
        <v>783.62</v>
      </c>
      <c r="R41" s="14">
        <v>1480.4</v>
      </c>
      <c r="S41" s="14">
        <v>74.349999999999994</v>
      </c>
      <c r="T41" s="14">
        <v>77.55</v>
      </c>
      <c r="U41" s="14">
        <v>10.06</v>
      </c>
      <c r="V41" s="14">
        <v>11.6</v>
      </c>
      <c r="W41" s="14">
        <v>78.31</v>
      </c>
      <c r="X41" s="14">
        <f t="shared" si="0"/>
        <v>1.5540109300898151</v>
      </c>
      <c r="Y41" s="14">
        <v>59.57</v>
      </c>
      <c r="Z41" s="14">
        <v>102</v>
      </c>
      <c r="AA41" s="14">
        <v>69.33</v>
      </c>
      <c r="AB41" s="14"/>
      <c r="AC41" s="14"/>
      <c r="AD41" s="14"/>
      <c r="AE41" s="14"/>
      <c r="AF41" s="14"/>
      <c r="AG41" s="14"/>
      <c r="AH41" s="32"/>
      <c r="AI41" s="14"/>
      <c r="AJ41" s="14"/>
      <c r="AK41" s="14"/>
      <c r="AL41" s="14"/>
      <c r="AM41" s="14"/>
      <c r="AN41" s="14"/>
    </row>
    <row r="42" spans="1:40">
      <c r="A42" s="88"/>
      <c r="B42" s="91"/>
      <c r="C42" s="3" t="s">
        <v>57</v>
      </c>
      <c r="D42" s="17">
        <v>112824</v>
      </c>
      <c r="E42" s="71">
        <v>357.38</v>
      </c>
      <c r="F42" s="71">
        <v>1020.92</v>
      </c>
      <c r="G42" s="71">
        <v>595.78</v>
      </c>
      <c r="H42" s="71">
        <v>1083.3900000000001</v>
      </c>
      <c r="I42" s="71">
        <v>704.06</v>
      </c>
      <c r="J42" s="71">
        <v>1473.38</v>
      </c>
      <c r="K42" s="71">
        <v>-167.53</v>
      </c>
      <c r="L42" s="71">
        <v>-448.92</v>
      </c>
      <c r="M42" s="71">
        <v>623.21</v>
      </c>
      <c r="N42" s="71">
        <v>1146.57</v>
      </c>
      <c r="O42" s="71">
        <v>162.33000000000001</v>
      </c>
      <c r="P42" s="71">
        <v>321.02999999999997</v>
      </c>
      <c r="Q42" s="71">
        <v>727.74</v>
      </c>
      <c r="R42" s="71">
        <v>1524.81</v>
      </c>
      <c r="S42" s="71">
        <v>77.95</v>
      </c>
      <c r="T42" s="71">
        <v>81.45</v>
      </c>
      <c r="U42" s="71">
        <v>14.02</v>
      </c>
      <c r="V42" s="71">
        <v>20.21</v>
      </c>
      <c r="W42" s="71">
        <v>73.7</v>
      </c>
      <c r="X42" s="71">
        <f t="shared" si="0"/>
        <v>1.5539572314793664</v>
      </c>
      <c r="Y42" s="71">
        <v>59.38</v>
      </c>
      <c r="Z42" s="71">
        <v>51</v>
      </c>
      <c r="AA42" s="71">
        <v>40</v>
      </c>
      <c r="AB42" s="71"/>
      <c r="AC42" s="71"/>
      <c r="AD42" s="71"/>
      <c r="AE42" s="18" t="s">
        <v>9</v>
      </c>
      <c r="AF42" s="18"/>
      <c r="AG42" s="18"/>
      <c r="AH42" s="32"/>
      <c r="AI42" s="18"/>
      <c r="AJ42" s="18"/>
      <c r="AK42" s="18"/>
      <c r="AL42" s="18"/>
      <c r="AM42" s="18"/>
      <c r="AN42" s="18"/>
    </row>
    <row r="43" spans="1:40">
      <c r="A43" s="88"/>
      <c r="B43" s="89">
        <v>13</v>
      </c>
      <c r="C43" s="2" t="s">
        <v>55</v>
      </c>
      <c r="D43" s="17">
        <f>D7*13</f>
        <v>122226</v>
      </c>
      <c r="E43" s="13">
        <v>379.18</v>
      </c>
      <c r="F43" s="13">
        <v>972.42</v>
      </c>
      <c r="G43" s="13">
        <v>608.73</v>
      </c>
      <c r="H43" s="13">
        <v>1020</v>
      </c>
      <c r="I43" s="13">
        <v>725.15</v>
      </c>
      <c r="J43" s="13">
        <v>1399.53</v>
      </c>
      <c r="K43" s="13">
        <v>-180.19</v>
      </c>
      <c r="L43" s="13">
        <v>-420.95</v>
      </c>
      <c r="M43" s="13">
        <v>637.09</v>
      </c>
      <c r="N43" s="13">
        <v>1064.8800000000001</v>
      </c>
      <c r="O43" s="13">
        <v>155.06</v>
      </c>
      <c r="P43" s="13">
        <v>230.96</v>
      </c>
      <c r="Q43" s="13">
        <v>749.66</v>
      </c>
      <c r="R43" s="13">
        <v>1440.71</v>
      </c>
      <c r="S43" s="13">
        <v>76.98</v>
      </c>
      <c r="T43" s="13">
        <v>79.930000000000007</v>
      </c>
      <c r="U43" s="13">
        <v>12.62</v>
      </c>
      <c r="V43" s="13">
        <v>21.86</v>
      </c>
      <c r="W43" s="13">
        <v>75.31</v>
      </c>
      <c r="X43" s="13">
        <f t="shared" si="0"/>
        <v>1.553914594555031</v>
      </c>
      <c r="Y43" s="13">
        <v>59.23</v>
      </c>
      <c r="Z43" s="13">
        <v>114</v>
      </c>
      <c r="AA43" s="13">
        <v>106</v>
      </c>
      <c r="AB43" s="72"/>
      <c r="AC43" s="72"/>
      <c r="AD43" s="72"/>
      <c r="AE43" s="32"/>
      <c r="AF43" s="32"/>
      <c r="AG43" s="32"/>
      <c r="AH43" s="32"/>
      <c r="AI43" s="32"/>
      <c r="AJ43" s="32"/>
      <c r="AK43" s="13"/>
      <c r="AL43" s="13"/>
      <c r="AM43" s="13"/>
      <c r="AN43" s="13"/>
    </row>
    <row r="44" spans="1:40">
      <c r="A44" s="88"/>
      <c r="B44" s="90"/>
      <c r="C44" s="1" t="s">
        <v>56</v>
      </c>
      <c r="D44" s="17">
        <v>122226</v>
      </c>
      <c r="E44" s="14">
        <v>359.64</v>
      </c>
      <c r="F44" s="14">
        <v>977.09</v>
      </c>
      <c r="G44" s="14">
        <v>748.58</v>
      </c>
      <c r="H44" s="14">
        <v>1288.28</v>
      </c>
      <c r="I44" s="14">
        <v>845.07</v>
      </c>
      <c r="J44" s="14">
        <v>1616.91</v>
      </c>
      <c r="K44" s="14">
        <v>-222.12</v>
      </c>
      <c r="L44" s="14">
        <v>-502.14</v>
      </c>
      <c r="M44" s="14">
        <v>784.66</v>
      </c>
      <c r="N44" s="14">
        <v>1368.26</v>
      </c>
      <c r="O44" s="14">
        <v>227.47</v>
      </c>
      <c r="P44" s="14">
        <v>319.99</v>
      </c>
      <c r="Q44" s="14">
        <v>876.08</v>
      </c>
      <c r="R44" s="14">
        <v>1681.32</v>
      </c>
      <c r="S44" s="14">
        <v>74.94</v>
      </c>
      <c r="T44" s="14">
        <v>80.08</v>
      </c>
      <c r="U44" s="14">
        <v>15.39</v>
      </c>
      <c r="V44" s="14">
        <v>16.98</v>
      </c>
      <c r="W44" s="14">
        <v>72.930000000000007</v>
      </c>
      <c r="X44" s="14">
        <f t="shared" si="0"/>
        <v>1.5556160750039179</v>
      </c>
      <c r="Y44" s="14">
        <v>65.87</v>
      </c>
      <c r="Z44" s="14">
        <v>110</v>
      </c>
      <c r="AA44" s="14">
        <v>79</v>
      </c>
      <c r="AB44" s="14"/>
      <c r="AC44" s="14"/>
      <c r="AD44" s="14"/>
      <c r="AE44" s="14"/>
      <c r="AF44" s="14"/>
      <c r="AG44" s="14"/>
      <c r="AH44" s="32"/>
      <c r="AI44" s="14"/>
      <c r="AJ44" s="14"/>
      <c r="AK44" s="14"/>
      <c r="AL44" s="14"/>
      <c r="AM44" s="14"/>
      <c r="AN44" s="14"/>
    </row>
    <row r="45" spans="1:40">
      <c r="A45" s="88"/>
      <c r="B45" s="91"/>
      <c r="C45" s="3" t="s">
        <v>57</v>
      </c>
      <c r="D45" s="17">
        <v>122226</v>
      </c>
      <c r="E45" s="71">
        <v>352.74</v>
      </c>
      <c r="F45" s="71">
        <v>1029.25</v>
      </c>
      <c r="G45" s="71">
        <v>570.23</v>
      </c>
      <c r="H45" s="71">
        <v>1116.75</v>
      </c>
      <c r="I45" s="71">
        <v>678.11</v>
      </c>
      <c r="J45" s="71">
        <v>1493.59</v>
      </c>
      <c r="K45" s="71">
        <v>-153.72999999999999</v>
      </c>
      <c r="L45" s="71">
        <v>-408.43</v>
      </c>
      <c r="M45" s="71">
        <v>594.54</v>
      </c>
      <c r="N45" s="71">
        <v>1152.3800000000001</v>
      </c>
      <c r="O45" s="71">
        <v>156.09</v>
      </c>
      <c r="P45" s="71">
        <v>293.62</v>
      </c>
      <c r="Q45" s="71">
        <v>699.12</v>
      </c>
      <c r="R45" s="71">
        <v>1542.73</v>
      </c>
      <c r="S45" s="71">
        <v>74.75</v>
      </c>
      <c r="T45" s="71">
        <v>82.11</v>
      </c>
      <c r="U45" s="71">
        <v>9.5399999999999991</v>
      </c>
      <c r="V45" s="71">
        <v>12.59</v>
      </c>
      <c r="W45" s="71">
        <v>78.650000000000006</v>
      </c>
      <c r="X45" s="71">
        <f t="shared" si="0"/>
        <v>1.5536335768565168</v>
      </c>
      <c r="Y45" s="71">
        <v>58.26</v>
      </c>
      <c r="Z45" s="71">
        <v>60</v>
      </c>
      <c r="AA45" s="71">
        <v>49</v>
      </c>
      <c r="AB45" s="71"/>
      <c r="AC45" s="71"/>
      <c r="AD45" s="71"/>
      <c r="AE45" s="18" t="s">
        <v>9</v>
      </c>
      <c r="AF45" s="18"/>
      <c r="AG45" s="18"/>
      <c r="AH45" s="32"/>
      <c r="AI45" s="18"/>
      <c r="AJ45" s="18"/>
      <c r="AK45" s="18"/>
      <c r="AL45" s="18"/>
      <c r="AM45" s="18"/>
      <c r="AN45" s="18"/>
    </row>
    <row r="46" spans="1:40">
      <c r="A46" s="88"/>
      <c r="B46" s="89">
        <v>14</v>
      </c>
      <c r="C46" s="2" t="s">
        <v>55</v>
      </c>
      <c r="D46" s="17">
        <f>D7*14</f>
        <v>131628</v>
      </c>
      <c r="E46" s="13">
        <v>355.31</v>
      </c>
      <c r="F46" s="13">
        <v>950.41</v>
      </c>
      <c r="G46" s="13">
        <v>607.52</v>
      </c>
      <c r="H46" s="13">
        <v>1047.57</v>
      </c>
      <c r="I46" s="13">
        <v>713.42</v>
      </c>
      <c r="J46" s="13">
        <v>1414.45</v>
      </c>
      <c r="K46" s="13">
        <v>-176.64</v>
      </c>
      <c r="L46" s="13">
        <v>-387.24</v>
      </c>
      <c r="M46" s="13">
        <v>634.51</v>
      </c>
      <c r="N46" s="13">
        <v>1101.92</v>
      </c>
      <c r="O46" s="13">
        <v>164.77</v>
      </c>
      <c r="P46" s="13">
        <v>242.96</v>
      </c>
      <c r="Q46" s="13">
        <v>736.9</v>
      </c>
      <c r="R46" s="13">
        <v>1455.16</v>
      </c>
      <c r="S46" s="13">
        <v>76.89</v>
      </c>
      <c r="T46" s="13">
        <v>83.03</v>
      </c>
      <c r="U46" s="13">
        <v>16.440000000000001</v>
      </c>
      <c r="V46" s="13">
        <v>17.5</v>
      </c>
      <c r="W46" s="13">
        <v>71.44</v>
      </c>
      <c r="X46" s="13">
        <f t="shared" si="0"/>
        <v>1.5544365299347795</v>
      </c>
      <c r="Y46" s="13">
        <v>61.12</v>
      </c>
      <c r="Z46" s="13">
        <v>164</v>
      </c>
      <c r="AA46" s="13">
        <v>129.33000000000001</v>
      </c>
      <c r="AB46" s="72"/>
      <c r="AC46" s="72"/>
      <c r="AD46" s="72"/>
      <c r="AE46" s="32"/>
      <c r="AF46" s="32"/>
      <c r="AG46" s="32"/>
      <c r="AH46" s="32"/>
      <c r="AI46" s="32"/>
      <c r="AJ46" s="32"/>
      <c r="AK46" s="13"/>
      <c r="AL46" s="13"/>
      <c r="AM46" s="13"/>
      <c r="AN46" s="13"/>
    </row>
    <row r="47" spans="1:40">
      <c r="A47" s="88"/>
      <c r="B47" s="90"/>
      <c r="C47" s="1" t="s">
        <v>56</v>
      </c>
      <c r="D47" s="17">
        <v>131628</v>
      </c>
      <c r="E47" s="14">
        <v>354.73</v>
      </c>
      <c r="F47" s="14">
        <v>1015.14</v>
      </c>
      <c r="G47" s="14">
        <v>722.03</v>
      </c>
      <c r="H47" s="14">
        <v>1262.72</v>
      </c>
      <c r="I47" s="14">
        <v>818.02</v>
      </c>
      <c r="J47" s="14">
        <v>1592.44</v>
      </c>
      <c r="K47" s="14">
        <v>-192.38</v>
      </c>
      <c r="L47" s="14">
        <v>-407.02</v>
      </c>
      <c r="M47" s="14">
        <v>749.87</v>
      </c>
      <c r="N47" s="14">
        <v>1306.3699999999999</v>
      </c>
      <c r="O47" s="14">
        <v>230.61</v>
      </c>
      <c r="P47" s="14">
        <v>301.12</v>
      </c>
      <c r="Q47" s="14">
        <v>842.55</v>
      </c>
      <c r="R47" s="14">
        <v>1636.26</v>
      </c>
      <c r="S47" s="14">
        <v>71.900000000000006</v>
      </c>
      <c r="T47" s="14">
        <v>76.760000000000005</v>
      </c>
      <c r="U47" s="14">
        <v>11.78</v>
      </c>
      <c r="V47" s="14">
        <v>12.99</v>
      </c>
      <c r="W47" s="14">
        <v>76.91</v>
      </c>
      <c r="X47" s="14">
        <f t="shared" si="0"/>
        <v>1.5556436754151846</v>
      </c>
      <c r="Y47" s="14">
        <v>65.989999999999995</v>
      </c>
      <c r="Z47" s="14">
        <v>124</v>
      </c>
      <c r="AA47" s="14">
        <v>81.67</v>
      </c>
      <c r="AB47" s="14"/>
      <c r="AC47" s="14"/>
      <c r="AD47" s="14"/>
      <c r="AE47" s="14"/>
      <c r="AF47" s="14"/>
      <c r="AG47" s="14"/>
      <c r="AH47" s="32"/>
      <c r="AI47" s="14"/>
      <c r="AJ47" s="14"/>
      <c r="AK47" s="14"/>
      <c r="AL47" s="14"/>
      <c r="AM47" s="14"/>
      <c r="AN47" s="14"/>
    </row>
    <row r="48" spans="1:40">
      <c r="A48" s="88"/>
      <c r="B48" s="91"/>
      <c r="C48" s="3" t="s">
        <v>57</v>
      </c>
      <c r="D48" s="17">
        <v>131628</v>
      </c>
      <c r="E48" s="71">
        <v>448.89</v>
      </c>
      <c r="F48" s="71">
        <v>1023.11</v>
      </c>
      <c r="G48" s="71">
        <v>714.55</v>
      </c>
      <c r="H48" s="71">
        <v>1068.08</v>
      </c>
      <c r="I48" s="71">
        <v>850.72</v>
      </c>
      <c r="J48" s="71">
        <v>1475.49</v>
      </c>
      <c r="K48" s="71">
        <v>-217.99</v>
      </c>
      <c r="L48" s="71">
        <v>-397.25</v>
      </c>
      <c r="M48" s="71">
        <v>748.72</v>
      </c>
      <c r="N48" s="71">
        <v>1124.2</v>
      </c>
      <c r="O48" s="71">
        <v>176.42</v>
      </c>
      <c r="P48" s="71">
        <v>345.13</v>
      </c>
      <c r="Q48" s="71">
        <v>880.01</v>
      </c>
      <c r="R48" s="71">
        <v>1520.06</v>
      </c>
      <c r="S48" s="71">
        <v>76.27</v>
      </c>
      <c r="T48" s="71">
        <v>81.349999999999994</v>
      </c>
      <c r="U48" s="71">
        <v>14.39</v>
      </c>
      <c r="V48" s="71">
        <v>15.25</v>
      </c>
      <c r="W48" s="71">
        <v>73.540000000000006</v>
      </c>
      <c r="X48" s="71">
        <f t="shared" si="0"/>
        <v>1.5547101983521268</v>
      </c>
      <c r="Y48" s="71">
        <v>62.16</v>
      </c>
      <c r="Z48" s="71">
        <v>69</v>
      </c>
      <c r="AA48" s="71">
        <v>56.33</v>
      </c>
      <c r="AB48" s="71"/>
      <c r="AC48" s="71"/>
      <c r="AD48" s="71"/>
      <c r="AE48" s="18" t="s">
        <v>9</v>
      </c>
      <c r="AF48" s="18"/>
      <c r="AG48" s="18"/>
      <c r="AH48" s="32"/>
      <c r="AI48" s="18"/>
      <c r="AJ48" s="18"/>
      <c r="AK48" s="18"/>
      <c r="AL48" s="18"/>
      <c r="AM48" s="18"/>
      <c r="AN48" s="18"/>
    </row>
    <row r="49" spans="1:40">
      <c r="A49" s="88"/>
      <c r="B49" s="89">
        <v>15</v>
      </c>
      <c r="C49" s="2" t="s">
        <v>55</v>
      </c>
      <c r="D49" s="17">
        <f>D7*15</f>
        <v>141030</v>
      </c>
      <c r="E49" s="13">
        <v>382.22</v>
      </c>
      <c r="F49" s="13">
        <v>978.31</v>
      </c>
      <c r="G49" s="13">
        <v>661.92</v>
      </c>
      <c r="H49" s="13">
        <v>1083.92</v>
      </c>
      <c r="I49" s="13">
        <v>778.77</v>
      </c>
      <c r="J49" s="13">
        <v>1437.95</v>
      </c>
      <c r="K49" s="13">
        <v>-190.06</v>
      </c>
      <c r="L49" s="13">
        <v>-391</v>
      </c>
      <c r="M49" s="13">
        <v>692.28</v>
      </c>
      <c r="N49" s="13">
        <v>1127.1600000000001</v>
      </c>
      <c r="O49" s="13">
        <v>182.81</v>
      </c>
      <c r="P49" s="13">
        <v>255.81</v>
      </c>
      <c r="Q49" s="13">
        <v>804.34</v>
      </c>
      <c r="R49" s="13">
        <v>1470.82</v>
      </c>
      <c r="S49" s="13">
        <v>74.7</v>
      </c>
      <c r="T49" s="13">
        <v>79.59</v>
      </c>
      <c r="U49" s="13">
        <v>11.15</v>
      </c>
      <c r="V49" s="13">
        <v>12.88</v>
      </c>
      <c r="W49" s="13">
        <v>77.040000000000006</v>
      </c>
      <c r="X49" s="13">
        <f t="shared" si="0"/>
        <v>1.5542497648979805</v>
      </c>
      <c r="Y49" s="13">
        <v>60.43</v>
      </c>
      <c r="Z49" s="13">
        <v>230</v>
      </c>
      <c r="AA49" s="13">
        <v>168</v>
      </c>
      <c r="AB49" s="72"/>
      <c r="AC49" s="72"/>
      <c r="AD49" s="72"/>
      <c r="AE49" s="32"/>
      <c r="AF49" s="32"/>
      <c r="AG49" s="32"/>
      <c r="AH49" s="32"/>
      <c r="AI49" s="32"/>
      <c r="AJ49" s="32"/>
      <c r="AK49" s="13"/>
      <c r="AL49" s="13"/>
      <c r="AM49" s="13"/>
      <c r="AN49" s="13"/>
    </row>
    <row r="50" spans="1:40">
      <c r="A50" s="88"/>
      <c r="B50" s="90"/>
      <c r="C50" s="1" t="s">
        <v>56</v>
      </c>
      <c r="D50" s="17">
        <v>141030</v>
      </c>
      <c r="E50" s="14">
        <v>352.39</v>
      </c>
      <c r="F50" s="14">
        <v>1020.96</v>
      </c>
      <c r="G50" s="14">
        <v>790.02</v>
      </c>
      <c r="H50" s="14">
        <v>1294.8699999999999</v>
      </c>
      <c r="I50" s="14">
        <v>882.29</v>
      </c>
      <c r="J50" s="14">
        <v>1645.81</v>
      </c>
      <c r="K50" s="14">
        <v>-208.07</v>
      </c>
      <c r="L50" s="14">
        <v>-461.54</v>
      </c>
      <c r="M50" s="14">
        <v>820.99</v>
      </c>
      <c r="N50" s="14">
        <v>1345.78</v>
      </c>
      <c r="O50" s="14">
        <v>266.16000000000003</v>
      </c>
      <c r="P50" s="14">
        <v>354.31</v>
      </c>
      <c r="Q50" s="14">
        <v>909.26</v>
      </c>
      <c r="R50" s="14">
        <v>1686.59</v>
      </c>
      <c r="S50" s="14">
        <v>74.569999999999993</v>
      </c>
      <c r="T50" s="14">
        <v>81.010000000000005</v>
      </c>
      <c r="U50" s="14">
        <v>13.5</v>
      </c>
      <c r="V50" s="14">
        <v>15.27</v>
      </c>
      <c r="W50" s="14">
        <v>75.19</v>
      </c>
      <c r="X50" s="14">
        <f t="shared" si="0"/>
        <v>1.556331835857129</v>
      </c>
      <c r="Y50" s="14">
        <v>69.13</v>
      </c>
      <c r="Z50" s="14">
        <v>169</v>
      </c>
      <c r="AA50" s="14">
        <v>109.67</v>
      </c>
      <c r="AB50" s="14"/>
      <c r="AC50" s="14"/>
      <c r="AD50" s="14"/>
      <c r="AE50" s="14"/>
      <c r="AF50" s="14"/>
      <c r="AG50" s="14"/>
      <c r="AH50" s="32"/>
      <c r="AI50" s="14"/>
      <c r="AJ50" s="14"/>
      <c r="AK50" s="14"/>
      <c r="AL50" s="14"/>
      <c r="AM50" s="14"/>
      <c r="AN50" s="14"/>
    </row>
    <row r="51" spans="1:40">
      <c r="A51" s="88"/>
      <c r="B51" s="91"/>
      <c r="C51" s="3" t="s">
        <v>57</v>
      </c>
      <c r="D51" s="17">
        <v>141030</v>
      </c>
      <c r="E51" s="71">
        <v>430.29</v>
      </c>
      <c r="F51" s="71">
        <v>1044.99</v>
      </c>
      <c r="G51" s="71">
        <v>699.2</v>
      </c>
      <c r="H51" s="71">
        <v>1104.26</v>
      </c>
      <c r="I51" s="71">
        <v>882.39</v>
      </c>
      <c r="J51" s="71">
        <v>1520.32</v>
      </c>
      <c r="K51" s="71">
        <v>-191.92</v>
      </c>
      <c r="L51" s="71">
        <v>-433.41</v>
      </c>
      <c r="M51" s="71">
        <v>728.12</v>
      </c>
      <c r="N51" s="71">
        <v>1155.99</v>
      </c>
      <c r="O51" s="71">
        <v>189.9</v>
      </c>
      <c r="P51" s="71">
        <v>296.45</v>
      </c>
      <c r="Q51" s="71">
        <v>852.51</v>
      </c>
      <c r="R51" s="71">
        <v>1558.3</v>
      </c>
      <c r="S51" s="71">
        <v>73.180000000000007</v>
      </c>
      <c r="T51" s="71">
        <v>76.28</v>
      </c>
      <c r="U51" s="71">
        <v>9.84</v>
      </c>
      <c r="V51" s="71">
        <v>12.61</v>
      </c>
      <c r="W51" s="71">
        <v>78.709999999999994</v>
      </c>
      <c r="X51" s="71">
        <f t="shared" si="0"/>
        <v>1.5544070387742006</v>
      </c>
      <c r="Y51" s="71">
        <v>61.01</v>
      </c>
      <c r="Z51" s="71">
        <v>83</v>
      </c>
      <c r="AA51" s="71">
        <v>71.67</v>
      </c>
      <c r="AB51" s="71"/>
      <c r="AC51" s="71"/>
      <c r="AD51" s="71"/>
      <c r="AE51" s="18" t="s">
        <v>9</v>
      </c>
      <c r="AF51" s="18"/>
      <c r="AG51" s="18"/>
      <c r="AH51" s="32"/>
      <c r="AI51" s="18"/>
      <c r="AJ51" s="18"/>
      <c r="AK51" s="18"/>
      <c r="AL51" s="18"/>
      <c r="AM51" s="18"/>
      <c r="AN51" s="18"/>
    </row>
    <row r="52" spans="1:40">
      <c r="A52" s="88"/>
      <c r="B52" s="70">
        <v>16</v>
      </c>
      <c r="C52" s="1" t="s">
        <v>56</v>
      </c>
      <c r="D52" s="17">
        <f>D7*16</f>
        <v>150432</v>
      </c>
      <c r="E52" s="14">
        <v>327.27</v>
      </c>
      <c r="F52" s="14">
        <v>995.53</v>
      </c>
      <c r="G52" s="14">
        <v>878.89</v>
      </c>
      <c r="H52" s="14">
        <v>1386.54</v>
      </c>
      <c r="I52" s="14">
        <v>959.24</v>
      </c>
      <c r="J52" s="14">
        <v>1699.32</v>
      </c>
      <c r="K52" s="14">
        <v>-224.47</v>
      </c>
      <c r="L52" s="14">
        <v>-474.42</v>
      </c>
      <c r="M52" s="14">
        <v>913.03</v>
      </c>
      <c r="N52" s="14">
        <v>1454.47</v>
      </c>
      <c r="O52" s="14">
        <v>322.91000000000003</v>
      </c>
      <c r="P52" s="14">
        <v>411.97</v>
      </c>
      <c r="Q52" s="14">
        <v>988.69</v>
      </c>
      <c r="R52" s="14">
        <v>1729.98</v>
      </c>
      <c r="S52" s="14">
        <v>70.89</v>
      </c>
      <c r="T52" s="14">
        <v>77.7</v>
      </c>
      <c r="U52" s="14">
        <v>14.51</v>
      </c>
      <c r="V52" s="14">
        <v>16.05</v>
      </c>
      <c r="W52" s="14">
        <v>74.52</v>
      </c>
      <c r="X52" s="14">
        <f t="shared" si="0"/>
        <v>1.5568131800599012</v>
      </c>
      <c r="Y52" s="14">
        <v>71.510000000000005</v>
      </c>
      <c r="Z52" s="14">
        <v>212</v>
      </c>
      <c r="AA52" s="14">
        <v>144</v>
      </c>
      <c r="AB52" s="14"/>
      <c r="AC52" s="14"/>
      <c r="AD52" s="14"/>
      <c r="AE52" s="14"/>
      <c r="AF52" s="14"/>
      <c r="AG52" s="14"/>
      <c r="AH52" s="32"/>
      <c r="AI52" s="14"/>
      <c r="AJ52" s="14"/>
      <c r="AK52" s="14"/>
      <c r="AL52" s="14"/>
      <c r="AM52" s="14"/>
      <c r="AN52" s="14"/>
    </row>
    <row r="53" spans="1:40">
      <c r="A53" s="88"/>
      <c r="B53" s="68">
        <v>17</v>
      </c>
      <c r="C53" s="3" t="s">
        <v>57</v>
      </c>
      <c r="D53" s="17">
        <f>D7*17</f>
        <v>159834</v>
      </c>
      <c r="E53" s="71">
        <v>361.11</v>
      </c>
      <c r="F53" s="71">
        <v>1030.81</v>
      </c>
      <c r="G53" s="71">
        <v>657.26</v>
      </c>
      <c r="H53" s="71">
        <v>1147.52</v>
      </c>
      <c r="I53" s="71">
        <v>759.24</v>
      </c>
      <c r="J53" s="71">
        <v>1542.52</v>
      </c>
      <c r="K53" s="71">
        <v>-182.21</v>
      </c>
      <c r="L53" s="71">
        <v>-386.68</v>
      </c>
      <c r="M53" s="71">
        <v>684.56</v>
      </c>
      <c r="N53" s="71">
        <v>1200.08</v>
      </c>
      <c r="O53" s="71">
        <v>192.15</v>
      </c>
      <c r="P53" s="71">
        <v>288.99</v>
      </c>
      <c r="Q53" s="71">
        <v>783.36</v>
      </c>
      <c r="R53" s="71">
        <v>1582.01</v>
      </c>
      <c r="S53" s="71">
        <v>75.239999999999995</v>
      </c>
      <c r="T53" s="71">
        <v>78.62</v>
      </c>
      <c r="U53" s="71">
        <v>14.9</v>
      </c>
      <c r="V53" s="71">
        <v>15.62</v>
      </c>
      <c r="W53" s="71">
        <v>73.37</v>
      </c>
      <c r="X53" s="71">
        <f t="shared" si="0"/>
        <v>1.5552984976285131</v>
      </c>
      <c r="Y53" s="71">
        <v>64.52</v>
      </c>
      <c r="Z53" s="71">
        <v>89</v>
      </c>
      <c r="AA53" s="71">
        <v>78</v>
      </c>
      <c r="AB53" s="71"/>
      <c r="AC53" s="71"/>
      <c r="AD53" s="71"/>
      <c r="AE53" s="18" t="s">
        <v>9</v>
      </c>
      <c r="AF53" s="18"/>
      <c r="AG53" s="18"/>
      <c r="AH53" s="32"/>
      <c r="AI53" s="18"/>
      <c r="AJ53" s="18"/>
      <c r="AK53" s="18"/>
      <c r="AL53" s="18"/>
      <c r="AM53" s="18"/>
      <c r="AN53" s="18"/>
    </row>
    <row r="54" spans="1:40">
      <c r="A54" s="88"/>
      <c r="B54" s="68">
        <v>18</v>
      </c>
      <c r="C54" s="3" t="s">
        <v>57</v>
      </c>
      <c r="D54" s="17">
        <f>D7*18</f>
        <v>169236</v>
      </c>
      <c r="E54" s="71">
        <v>364.74</v>
      </c>
      <c r="F54" s="71">
        <v>1048.51</v>
      </c>
      <c r="G54" s="71">
        <v>677.61</v>
      </c>
      <c r="H54" s="71">
        <v>1196.6199999999999</v>
      </c>
      <c r="I54" s="71">
        <v>780.68</v>
      </c>
      <c r="J54" s="71">
        <v>1562.89</v>
      </c>
      <c r="K54" s="71">
        <v>-180.58</v>
      </c>
      <c r="L54" s="71">
        <v>-429.75</v>
      </c>
      <c r="M54" s="71">
        <v>704.6</v>
      </c>
      <c r="N54" s="71">
        <v>1229.78</v>
      </c>
      <c r="O54" s="71">
        <v>205.54</v>
      </c>
      <c r="P54" s="71">
        <v>344.71</v>
      </c>
      <c r="Q54" s="71">
        <v>804.71</v>
      </c>
      <c r="R54" s="71">
        <v>1604.91</v>
      </c>
      <c r="S54" s="71">
        <v>75.17</v>
      </c>
      <c r="T54" s="71">
        <v>78.42</v>
      </c>
      <c r="U54" s="71">
        <v>16.14</v>
      </c>
      <c r="V54" s="71">
        <v>17.03</v>
      </c>
      <c r="W54" s="71">
        <v>72.25</v>
      </c>
      <c r="X54" s="71">
        <f t="shared" si="0"/>
        <v>1.5557576050149939</v>
      </c>
      <c r="Y54" s="71">
        <v>66.489999999999995</v>
      </c>
      <c r="Z54" s="71">
        <v>102</v>
      </c>
      <c r="AA54" s="71">
        <v>84</v>
      </c>
      <c r="AB54" s="71"/>
      <c r="AC54" s="71"/>
      <c r="AD54" s="71"/>
      <c r="AE54" s="18" t="s">
        <v>9</v>
      </c>
      <c r="AF54" s="18"/>
      <c r="AG54" s="18"/>
      <c r="AH54" s="32"/>
      <c r="AI54" s="18"/>
      <c r="AJ54" s="18"/>
      <c r="AK54" s="18"/>
      <c r="AL54" s="18"/>
      <c r="AM54" s="18"/>
      <c r="AN54" s="18"/>
    </row>
    <row r="55" spans="1:40">
      <c r="A55" s="88"/>
      <c r="B55" s="68">
        <v>19</v>
      </c>
      <c r="C55" s="3" t="s">
        <v>57</v>
      </c>
      <c r="D55" s="17">
        <f>D7*19</f>
        <v>178638</v>
      </c>
      <c r="E55" s="71">
        <v>350.63</v>
      </c>
      <c r="F55" s="71">
        <v>1053.3599999999999</v>
      </c>
      <c r="G55" s="71">
        <v>675.57</v>
      </c>
      <c r="H55" s="71">
        <v>1214.7</v>
      </c>
      <c r="I55" s="71">
        <v>772.68</v>
      </c>
      <c r="J55" s="71">
        <v>1595.58</v>
      </c>
      <c r="K55" s="71">
        <v>-175.53</v>
      </c>
      <c r="L55" s="71">
        <v>-413.28</v>
      </c>
      <c r="M55" s="71">
        <v>701.38</v>
      </c>
      <c r="N55" s="71">
        <v>1256.43</v>
      </c>
      <c r="O55" s="71">
        <v>212.34</v>
      </c>
      <c r="P55" s="71">
        <v>342.24</v>
      </c>
      <c r="Q55" s="71">
        <v>795.71</v>
      </c>
      <c r="R55" s="71">
        <v>1639.57</v>
      </c>
      <c r="S55" s="71">
        <v>71.02</v>
      </c>
      <c r="T55" s="71">
        <v>75.22</v>
      </c>
      <c r="U55" s="71">
        <v>15.41</v>
      </c>
      <c r="V55" s="71">
        <v>17.3</v>
      </c>
      <c r="W55" s="71">
        <v>72.77</v>
      </c>
      <c r="X55" s="71">
        <f t="shared" si="0"/>
        <v>1.5558116849189458</v>
      </c>
      <c r="Y55" s="71">
        <v>66.73</v>
      </c>
      <c r="Z55" s="71">
        <v>115</v>
      </c>
      <c r="AA55" s="71">
        <v>88.33</v>
      </c>
      <c r="AB55" s="71"/>
      <c r="AC55" s="71"/>
      <c r="AD55" s="71"/>
      <c r="AE55" s="18" t="s">
        <v>9</v>
      </c>
      <c r="AF55" s="18"/>
      <c r="AG55" s="18"/>
      <c r="AH55" s="32"/>
      <c r="AI55" s="18"/>
      <c r="AJ55" s="18"/>
      <c r="AK55" s="18"/>
      <c r="AL55" s="18"/>
      <c r="AM55" s="18"/>
      <c r="AN55" s="18"/>
    </row>
    <row r="56" spans="1:40">
      <c r="A56" s="88"/>
      <c r="B56" s="68">
        <v>20</v>
      </c>
      <c r="C56" s="3" t="s">
        <v>57</v>
      </c>
      <c r="D56" s="17">
        <f>D7*20</f>
        <v>188040</v>
      </c>
      <c r="E56" s="71">
        <v>370.11</v>
      </c>
      <c r="F56" s="71">
        <v>1041.31</v>
      </c>
      <c r="G56" s="71">
        <v>743.12</v>
      </c>
      <c r="H56" s="71">
        <v>1182.32</v>
      </c>
      <c r="I56" s="71">
        <v>845.88</v>
      </c>
      <c r="J56" s="71">
        <v>1567.97</v>
      </c>
      <c r="K56" s="71">
        <v>-213.8</v>
      </c>
      <c r="L56" s="71">
        <v>-410.57</v>
      </c>
      <c r="M56" s="71">
        <v>776.01</v>
      </c>
      <c r="N56" s="71">
        <v>1233.9000000000001</v>
      </c>
      <c r="O56" s="71">
        <v>225.13</v>
      </c>
      <c r="P56" s="71">
        <v>370.62</v>
      </c>
      <c r="Q56" s="71">
        <v>874.71</v>
      </c>
      <c r="R56" s="71">
        <v>1614.57</v>
      </c>
      <c r="S56" s="71">
        <v>75.260000000000005</v>
      </c>
      <c r="T56" s="71">
        <v>79.010000000000005</v>
      </c>
      <c r="U56" s="71">
        <v>17.829999999999998</v>
      </c>
      <c r="V56" s="71">
        <v>21.22</v>
      </c>
      <c r="W56" s="71">
        <v>70.7</v>
      </c>
      <c r="X56" s="71">
        <f t="shared" si="0"/>
        <v>1.5563129826957747</v>
      </c>
      <c r="Y56" s="71">
        <v>69.040000000000006</v>
      </c>
      <c r="Z56" s="71">
        <v>138</v>
      </c>
      <c r="AA56" s="71">
        <v>112.33</v>
      </c>
      <c r="AB56" s="71"/>
      <c r="AC56" s="71"/>
      <c r="AD56" s="71"/>
      <c r="AE56" s="18" t="s">
        <v>9</v>
      </c>
      <c r="AF56" s="18"/>
      <c r="AG56" s="18"/>
      <c r="AH56" s="32"/>
      <c r="AI56" s="18"/>
      <c r="AJ56" s="18"/>
      <c r="AK56" s="18"/>
      <c r="AL56" s="18"/>
      <c r="AM56" s="18"/>
      <c r="AN56" s="18"/>
    </row>
    <row r="57" spans="1:40">
      <c r="A57" s="88"/>
      <c r="B57" s="68">
        <v>21</v>
      </c>
      <c r="C57" s="3" t="s">
        <v>57</v>
      </c>
      <c r="D57" s="17">
        <f>D7*21</f>
        <v>197442</v>
      </c>
      <c r="E57" s="71">
        <v>346.89</v>
      </c>
      <c r="F57" s="71">
        <v>1041.04</v>
      </c>
      <c r="G57" s="71">
        <v>755.39</v>
      </c>
      <c r="H57" s="71">
        <v>1219.67</v>
      </c>
      <c r="I57" s="71">
        <v>846.4</v>
      </c>
      <c r="J57" s="71">
        <v>1592.76</v>
      </c>
      <c r="K57" s="71">
        <v>-194.21</v>
      </c>
      <c r="L57" s="71">
        <v>-450.2</v>
      </c>
      <c r="M57" s="71">
        <v>782.91</v>
      </c>
      <c r="N57" s="71">
        <v>1259.57</v>
      </c>
      <c r="O57" s="71">
        <v>254.24</v>
      </c>
      <c r="P57" s="71">
        <v>382.26</v>
      </c>
      <c r="Q57" s="71">
        <v>871.15</v>
      </c>
      <c r="R57" s="71">
        <v>1630.31</v>
      </c>
      <c r="S57" s="71">
        <v>71.42</v>
      </c>
      <c r="T57" s="71">
        <v>76.150000000000006</v>
      </c>
      <c r="U57" s="71">
        <v>13.82</v>
      </c>
      <c r="V57" s="71">
        <v>14.92</v>
      </c>
      <c r="W57" s="71">
        <v>75.099999999999994</v>
      </c>
      <c r="X57" s="71">
        <f t="shared" si="0"/>
        <v>1.5563818718402562</v>
      </c>
      <c r="Y57" s="71">
        <v>69.37</v>
      </c>
      <c r="Z57" s="71">
        <v>142</v>
      </c>
      <c r="AA57" s="71">
        <v>114</v>
      </c>
      <c r="AB57" s="71"/>
      <c r="AC57" s="71"/>
      <c r="AD57" s="71"/>
      <c r="AE57" s="18" t="s">
        <v>9</v>
      </c>
      <c r="AF57" s="18"/>
      <c r="AG57" s="18"/>
      <c r="AH57" s="32"/>
      <c r="AI57" s="18"/>
      <c r="AJ57" s="18"/>
      <c r="AK57" s="18"/>
      <c r="AL57" s="18"/>
      <c r="AM57" s="18"/>
      <c r="AN57" s="18"/>
    </row>
    <row r="58" spans="1:40" ht="15.75" thickBot="1">
      <c r="A58" s="88"/>
      <c r="B58" s="68">
        <v>22</v>
      </c>
      <c r="C58" s="3" t="s">
        <v>57</v>
      </c>
      <c r="D58" s="17">
        <f>D7*22</f>
        <v>206844</v>
      </c>
      <c r="E58" s="71">
        <v>328.71</v>
      </c>
      <c r="F58" s="71">
        <v>1023.77</v>
      </c>
      <c r="G58" s="71">
        <v>840.8</v>
      </c>
      <c r="H58" s="71">
        <v>1303.23</v>
      </c>
      <c r="I58" s="71">
        <v>921.68</v>
      </c>
      <c r="J58" s="71">
        <v>1657.26</v>
      </c>
      <c r="K58" s="71">
        <v>-232.11</v>
      </c>
      <c r="L58" s="71">
        <v>-484.27</v>
      </c>
      <c r="M58" s="71">
        <v>874.49</v>
      </c>
      <c r="N58" s="71">
        <v>1360.39</v>
      </c>
      <c r="O58" s="71">
        <v>292.02</v>
      </c>
      <c r="P58" s="71">
        <v>392.93</v>
      </c>
      <c r="Q58" s="71">
        <v>952.82</v>
      </c>
      <c r="R58" s="71">
        <v>1702.58</v>
      </c>
      <c r="S58" s="71">
        <v>71.430000000000007</v>
      </c>
      <c r="T58" s="71">
        <v>75.959999999999994</v>
      </c>
      <c r="U58" s="71">
        <v>13.13</v>
      </c>
      <c r="V58" s="71">
        <v>16.22</v>
      </c>
      <c r="W58" s="71">
        <v>75.739999999999995</v>
      </c>
      <c r="X58" s="71">
        <f t="shared" si="0"/>
        <v>1.5562561271942195</v>
      </c>
      <c r="Y58" s="71">
        <v>68.77</v>
      </c>
      <c r="Z58" s="71">
        <v>204</v>
      </c>
      <c r="AA58" s="71">
        <v>142</v>
      </c>
      <c r="AB58" s="71"/>
      <c r="AC58" s="71"/>
      <c r="AD58" s="71"/>
      <c r="AE58" s="18" t="s">
        <v>9</v>
      </c>
      <c r="AF58" s="18"/>
      <c r="AG58" s="18"/>
      <c r="AH58" s="32"/>
      <c r="AI58" s="18"/>
      <c r="AJ58" s="18"/>
      <c r="AK58" s="18"/>
      <c r="AL58" s="18"/>
      <c r="AM58" s="18"/>
      <c r="AN58" s="18"/>
    </row>
    <row r="59" spans="1:40" ht="15.75" thickBot="1">
      <c r="D59" s="23" t="s">
        <v>18</v>
      </c>
      <c r="E59" s="24">
        <f>AVERAGE(E7:E58)</f>
        <v>366.80923076923074</v>
      </c>
      <c r="F59" s="24">
        <f>AVERAGE(F7:F58)</f>
        <v>966.37519230769192</v>
      </c>
      <c r="G59" s="24">
        <f t="shared" ref="G59:AA59" si="1">AVERAGE(G7:G58)</f>
        <v>618.57576923076908</v>
      </c>
      <c r="H59" s="24">
        <f t="shared" si="1"/>
        <v>1069.9948076923074</v>
      </c>
      <c r="I59" s="24">
        <f t="shared" si="1"/>
        <v>730.80826923076938</v>
      </c>
      <c r="J59" s="24">
        <f t="shared" si="1"/>
        <v>1437.2190384615378</v>
      </c>
      <c r="K59" s="24">
        <f t="shared" si="1"/>
        <v>-177.95480769230772</v>
      </c>
      <c r="L59" s="24">
        <f t="shared" si="1"/>
        <v>-402.65923076923082</v>
      </c>
      <c r="M59" s="24">
        <f t="shared" si="1"/>
        <v>646.3721153846152</v>
      </c>
      <c r="N59" s="24">
        <f t="shared" si="1"/>
        <v>1121.4219230769229</v>
      </c>
      <c r="O59" s="24">
        <f t="shared" si="1"/>
        <v>167.33307692307696</v>
      </c>
      <c r="P59" s="24">
        <f t="shared" si="1"/>
        <v>261.96673076923071</v>
      </c>
      <c r="Q59" s="24">
        <f t="shared" si="1"/>
        <v>753.66788461538454</v>
      </c>
      <c r="R59" s="24">
        <f t="shared" si="1"/>
        <v>1476.877884615385</v>
      </c>
      <c r="S59" s="24">
        <f t="shared" si="1"/>
        <v>76.037692307692268</v>
      </c>
      <c r="T59" s="24">
        <f t="shared" si="1"/>
        <v>80.22192307692309</v>
      </c>
      <c r="U59" s="24">
        <f t="shared" si="1"/>
        <v>13.565576923076922</v>
      </c>
      <c r="V59" s="24">
        <f t="shared" si="1"/>
        <v>15.889807692307695</v>
      </c>
      <c r="W59" s="24">
        <f t="shared" si="1"/>
        <v>74.426153846153824</v>
      </c>
      <c r="X59" s="24">
        <f t="shared" si="1"/>
        <v>1.5544415539001037</v>
      </c>
      <c r="Y59" s="24">
        <f t="shared" si="1"/>
        <v>61.432499999999997</v>
      </c>
      <c r="Z59" s="24">
        <f t="shared" si="1"/>
        <v>71.25</v>
      </c>
      <c r="AA59" s="24">
        <f t="shared" si="1"/>
        <v>55.320384615384604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15.75" thickBot="1">
      <c r="D60" s="22" t="s">
        <v>19</v>
      </c>
      <c r="E60" s="25">
        <f>STDEV(E7:E58)</f>
        <v>30.987786768475715</v>
      </c>
      <c r="F60" s="25">
        <f t="shared" ref="F60:AA60" si="2">STDEV(F7:F58)</f>
        <v>58.30907511819624</v>
      </c>
      <c r="G60" s="25">
        <f t="shared" si="2"/>
        <v>84.07769747752647</v>
      </c>
      <c r="H60" s="25">
        <f t="shared" si="2"/>
        <v>116.67842846297769</v>
      </c>
      <c r="I60" s="25">
        <f t="shared" si="2"/>
        <v>79.999092586057969</v>
      </c>
      <c r="J60" s="25">
        <f t="shared" si="2"/>
        <v>113.92700386152134</v>
      </c>
      <c r="K60" s="25">
        <f t="shared" si="2"/>
        <v>22.080487037323639</v>
      </c>
      <c r="L60" s="25">
        <f t="shared" si="2"/>
        <v>47.708901822638005</v>
      </c>
      <c r="M60" s="25">
        <f t="shared" si="2"/>
        <v>85.792346300080354</v>
      </c>
      <c r="N60" s="25">
        <f t="shared" si="2"/>
        <v>123.87019809712737</v>
      </c>
      <c r="O60" s="25">
        <f t="shared" si="2"/>
        <v>46.165224478293325</v>
      </c>
      <c r="P60" s="25">
        <f t="shared" si="2"/>
        <v>59.942257859859644</v>
      </c>
      <c r="Q60" s="25">
        <f t="shared" si="2"/>
        <v>79.710102229255256</v>
      </c>
      <c r="R60" s="25">
        <f t="shared" si="2"/>
        <v>119.65553762225403</v>
      </c>
      <c r="S60" s="25">
        <f t="shared" si="2"/>
        <v>2.303364644989617</v>
      </c>
      <c r="T60" s="25">
        <f t="shared" si="2"/>
        <v>2.2814392073227814</v>
      </c>
      <c r="U60" s="25">
        <f t="shared" si="2"/>
        <v>2.4158093788109869</v>
      </c>
      <c r="V60" s="25">
        <f t="shared" si="2"/>
        <v>3.1320083704997952</v>
      </c>
      <c r="W60" s="25">
        <f t="shared" si="2"/>
        <v>2.6301152989318282</v>
      </c>
      <c r="X60" s="25">
        <f t="shared" si="2"/>
        <v>1.1488580523254497E-3</v>
      </c>
      <c r="Y60" s="25">
        <f t="shared" si="2"/>
        <v>4.2847792058795209</v>
      </c>
      <c r="Z60" s="25">
        <f t="shared" si="2"/>
        <v>54.121821556812471</v>
      </c>
      <c r="AA60" s="25">
        <f t="shared" si="2"/>
        <v>38.682926616452868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</sheetData>
  <mergeCells count="16">
    <mergeCell ref="A7:A58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49:B51"/>
    <mergeCell ref="B34:B36"/>
    <mergeCell ref="B37:B39"/>
    <mergeCell ref="B40:B42"/>
    <mergeCell ref="B43:B45"/>
    <mergeCell ref="B46:B48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54"/>
  <sheetViews>
    <sheetView workbookViewId="0">
      <selection activeCell="AC3" sqref="AC3:AC54"/>
    </sheetView>
  </sheetViews>
  <sheetFormatPr baseColWidth="10" defaultRowHeight="15"/>
  <sheetData>
    <row r="1" spans="1:30">
      <c r="B1" s="4" t="s">
        <v>7</v>
      </c>
      <c r="C1" s="4" t="s">
        <v>8</v>
      </c>
      <c r="D1" s="8" t="s">
        <v>0</v>
      </c>
      <c r="E1" s="8" t="s">
        <v>30</v>
      </c>
      <c r="F1" s="8" t="s">
        <v>29</v>
      </c>
      <c r="G1" s="8" t="s">
        <v>48</v>
      </c>
      <c r="H1" s="8" t="s">
        <v>51</v>
      </c>
      <c r="I1" s="8" t="s">
        <v>49</v>
      </c>
      <c r="J1" s="8" t="s">
        <v>50</v>
      </c>
      <c r="K1" s="8" t="s">
        <v>52</v>
      </c>
      <c r="L1" s="8" t="s">
        <v>53</v>
      </c>
      <c r="M1" s="8" t="s">
        <v>31</v>
      </c>
      <c r="N1" s="8" t="s">
        <v>32</v>
      </c>
      <c r="O1" s="8" t="s">
        <v>27</v>
      </c>
      <c r="P1" s="8" t="s">
        <v>28</v>
      </c>
      <c r="Q1" s="8" t="s">
        <v>38</v>
      </c>
      <c r="R1" s="8" t="s">
        <v>39</v>
      </c>
      <c r="S1" s="8" t="s">
        <v>25</v>
      </c>
      <c r="T1" s="8" t="s">
        <v>26</v>
      </c>
      <c r="U1" s="50" t="s">
        <v>36</v>
      </c>
      <c r="V1" s="50" t="s">
        <v>37</v>
      </c>
      <c r="W1" s="8" t="s">
        <v>33</v>
      </c>
      <c r="X1" s="8" t="s">
        <v>35</v>
      </c>
      <c r="Y1" s="8" t="s">
        <v>34</v>
      </c>
      <c r="Z1" s="8" t="s">
        <v>5</v>
      </c>
      <c r="AA1" s="8" t="s">
        <v>6</v>
      </c>
      <c r="AB1" s="8"/>
      <c r="AC1" s="8" t="s">
        <v>60</v>
      </c>
      <c r="AD1" s="8"/>
    </row>
    <row r="2" spans="1:30">
      <c r="B2" s="5" t="s">
        <v>11</v>
      </c>
      <c r="C2" s="6" t="s">
        <v>10</v>
      </c>
      <c r="D2" s="7" t="s">
        <v>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>
      <c r="A3" s="88" t="s">
        <v>66</v>
      </c>
      <c r="B3" s="89">
        <v>1</v>
      </c>
      <c r="C3" s="2" t="s">
        <v>55</v>
      </c>
      <c r="D3" s="17">
        <v>9402</v>
      </c>
      <c r="E3" s="13">
        <f>(résultats!E7-résultats!E59)/résultats!E60</f>
        <v>0.52862017391424787</v>
      </c>
      <c r="F3" s="13">
        <f>(résultats!F7-résultats!F59)/résultats!F60</f>
        <v>0.1376253640799697</v>
      </c>
      <c r="G3" s="13">
        <f>(résultats!G7-résultats!G59)/résultats!G60</f>
        <v>-0.72963188896991937</v>
      </c>
      <c r="H3" s="13">
        <f>(résultats!H7-résultats!H59)/résultats!H60</f>
        <v>-0.2336747936312715</v>
      </c>
      <c r="I3" s="13">
        <f>(résultats!I7-résultats!I59)/résultats!I60</f>
        <v>-0.60661024596704971</v>
      </c>
      <c r="J3" s="13">
        <f>(résultats!J7-résultats!J59)/résultats!J60</f>
        <v>-0.20547401114832828</v>
      </c>
      <c r="K3" s="13">
        <f>(résultats!K7-résultats!K59)/résultats!K60</f>
        <v>0.19495981610510263</v>
      </c>
      <c r="L3" s="13">
        <f>(résultats!L7-résultats!L59)/résultats!L60</f>
        <v>-1.1987441975374087</v>
      </c>
      <c r="M3" s="13">
        <f>(résultats!M7-résultats!M59)/résultats!M60</f>
        <v>-0.6857501621279255</v>
      </c>
      <c r="N3" s="13">
        <f>(résultats!N7-résultats!N59)/résultats!N60</f>
        <v>-0.30259032158431715</v>
      </c>
      <c r="O3" s="13">
        <f>(résultats!O7-résultats!O59)/résultats!O60</f>
        <v>-0.94276757916646337</v>
      </c>
      <c r="P3" s="13">
        <f>(résultats!P7-résultats!P59)/résultats!P60</f>
        <v>-0.34994895951821953</v>
      </c>
      <c r="Q3" s="13">
        <f>(résultats!Q7-résultats!Q59)/résultats!Q60</f>
        <v>-0.57656286129460022</v>
      </c>
      <c r="R3" s="13">
        <f>(résultats!R7-résultats!R59)/résultats!R60</f>
        <v>-0.19195003483995282</v>
      </c>
      <c r="S3" s="13">
        <f>(résultats!S7-résultats!S59)/résultats!S60</f>
        <v>1.6030061503025197</v>
      </c>
      <c r="T3" s="13">
        <f>(résultats!T7-résultats!T59)/résultats!T60</f>
        <v>1.4982108276678334</v>
      </c>
      <c r="U3" s="13">
        <f>(résultats!U7-résultats!U59)/résultats!U60</f>
        <v>0.99114735538512</v>
      </c>
      <c r="V3" s="13">
        <f>(résultats!V7-résultats!V59)/résultats!V60</f>
        <v>1.3634038618520303</v>
      </c>
      <c r="W3" s="13">
        <f>(résultats!W7-résultats!W59)/résultats!W60</f>
        <v>-2.131523986203443</v>
      </c>
      <c r="X3" s="13">
        <f>(résultats!X7-résultats!X59)/résultats!X60</f>
        <v>0.28320889122744147</v>
      </c>
      <c r="Y3" s="13">
        <f>(résultats!Y7-résultats!Y59)/résultats!Y60</f>
        <v>0.2211315809925182</v>
      </c>
      <c r="Z3" s="13">
        <f>(résultats!Z7-résultats!Z59)/résultats!Z60</f>
        <v>-1.0208451676372952</v>
      </c>
      <c r="AA3" s="13">
        <f>(résultats!AA7-résultats!AA59)/résultats!AA60</f>
        <v>-1.0596505538945007</v>
      </c>
      <c r="AB3" s="72"/>
      <c r="AC3" s="13">
        <f>0.807*G3-0.727*K3+0.808*Q3</f>
        <v>-1.1964115126331716</v>
      </c>
      <c r="AD3" s="72"/>
    </row>
    <row r="4" spans="1:30">
      <c r="A4" s="88"/>
      <c r="B4" s="90"/>
      <c r="C4" s="1" t="s">
        <v>56</v>
      </c>
      <c r="D4" s="17">
        <v>9402</v>
      </c>
      <c r="E4" s="14">
        <f>(résultats!E8-résultats!E59)/résultats!E60</f>
        <v>-0.13486703004818429</v>
      </c>
      <c r="F4" s="14">
        <f>(résultats!F8-résultats!F59)/résultats!F60</f>
        <v>-0.65367513085107221</v>
      </c>
      <c r="G4" s="14">
        <f>(résultats!G8-résultats!G59)/résultats!G60</f>
        <v>-0.68051065796684718</v>
      </c>
      <c r="H4" s="14">
        <f>(résultats!H8-résultats!H59)/résultats!H60</f>
        <v>-0.7684780200888478</v>
      </c>
      <c r="I4" s="14">
        <f>(résultats!I8-résultats!I59)/résultats!I60</f>
        <v>-0.69761127816211632</v>
      </c>
      <c r="J4" s="14">
        <f>(résultats!J8-résultats!J59)/résultats!J60</f>
        <v>-0.80980834511964306</v>
      </c>
      <c r="K4" s="14">
        <f>(résultats!K8-résultats!K59)/résultats!K60</f>
        <v>0.4295560906910762</v>
      </c>
      <c r="L4" s="14">
        <f>(résultats!L8-résultats!L59)/résultats!L60</f>
        <v>0.55375893721986302</v>
      </c>
      <c r="M4" s="14">
        <f>(résultats!M8-résultats!M59)/résultats!M60</f>
        <v>-0.68598328315634483</v>
      </c>
      <c r="N4" s="14">
        <f>(résultats!N8-résultats!N59)/résultats!N60</f>
        <v>-0.7517701957972609</v>
      </c>
      <c r="O4" s="14">
        <f>(résultats!O8-résultats!O59)/résultats!O60</f>
        <v>-0.65618822967752777</v>
      </c>
      <c r="P4" s="14">
        <f>(résultats!P8-résultats!P59)/résultats!P60</f>
        <v>-0.69628225995103421</v>
      </c>
      <c r="Q4" s="14">
        <f>(résultats!Q8-résultats!Q59)/résultats!Q60</f>
        <v>-0.70954475071074008</v>
      </c>
      <c r="R4" s="14">
        <f>(résultats!R8-résultats!R59)/résultats!R60</f>
        <v>-0.76526240602804252</v>
      </c>
      <c r="S4" s="14">
        <f>(résultats!S8-résultats!S59)/résultats!S60</f>
        <v>5.3433538343576909E-3</v>
      </c>
      <c r="T4" s="14">
        <f>(résultats!T8-résultats!T59)/résultats!T60</f>
        <v>0.93277827270013269</v>
      </c>
      <c r="U4" s="14">
        <f>(résultats!U8-résultats!U59)/résultats!U60</f>
        <v>-0.24239367899346864</v>
      </c>
      <c r="V4" s="14">
        <f>(résultats!V8-résultats!V59)/résultats!V60</f>
        <v>-0.31922254797427263</v>
      </c>
      <c r="W4" s="14">
        <f>(résultats!W8-résultats!W59)/résultats!W60</f>
        <v>0.17255751260429261</v>
      </c>
      <c r="X4" s="14">
        <f>(résultats!X8-résultats!X59)/résultats!X60</f>
        <v>-8.1661566006352132E-2</v>
      </c>
      <c r="Y4" s="14">
        <f>(résultats!Y8-résultats!Y59)/résultats!Y60</f>
        <v>-0.14994938341708897</v>
      </c>
      <c r="Z4" s="14">
        <f>(résultats!Z8-résultats!Z59)/résultats!Z60</f>
        <v>-1.0208451676372952</v>
      </c>
      <c r="AA4" s="14">
        <f>(résultats!AA8-résultats!AA59)/résultats!AA60</f>
        <v>-1.0855017520190675</v>
      </c>
      <c r="AB4" s="14"/>
      <c r="AC4" s="14">
        <f t="shared" ref="AC4:AC54" si="0">0.807*G4-0.727*K4+0.808*Q4</f>
        <v>-1.4347715374859362</v>
      </c>
      <c r="AD4" s="14"/>
    </row>
    <row r="5" spans="1:30">
      <c r="A5" s="88"/>
      <c r="B5" s="91"/>
      <c r="C5" s="3" t="s">
        <v>57</v>
      </c>
      <c r="D5" s="17">
        <v>9402</v>
      </c>
      <c r="E5" s="71">
        <f>(résultats!E9-résultats!E59)/résultats!E60</f>
        <v>0.11845858041412635</v>
      </c>
      <c r="F5" s="71">
        <f>(résultats!F9-résultats!F59)/résultats!F60</f>
        <v>-0.9505414413681138</v>
      </c>
      <c r="G5" s="71">
        <f>(résultats!G9-résultats!G59)/résultats!G60</f>
        <v>-0.6472081284732395</v>
      </c>
      <c r="H5" s="71">
        <f>(résultats!H9-résultats!H59)/résultats!H60</f>
        <v>-0.80764549997524449</v>
      </c>
      <c r="I5" s="71">
        <f>(résultats!I9-résultats!I59)/résultats!I60</f>
        <v>-0.61573534947012676</v>
      </c>
      <c r="J5" s="71">
        <f>(résultats!J9-résultats!J59)/résultats!J60</f>
        <v>-0.89819827602873692</v>
      </c>
      <c r="K5" s="71">
        <f>(résultats!K9-résultats!K59)/résultats!K60</f>
        <v>0.38970189732511956</v>
      </c>
      <c r="L5" s="71">
        <f>(résultats!L9-résultats!L59)/résultats!L60</f>
        <v>1.4582023084048448</v>
      </c>
      <c r="M5" s="71">
        <f>(résultats!M9-résultats!M59)/résultats!M60</f>
        <v>-0.65276353660656028</v>
      </c>
      <c r="N5" s="71">
        <f>(résultats!N9-résultats!N59)/résultats!N60</f>
        <v>-0.84582025932315552</v>
      </c>
      <c r="O5" s="71">
        <f>(résultats!O9-résultats!O59)/résultats!O60</f>
        <v>-0.68694731329614345</v>
      </c>
      <c r="P5" s="71">
        <f>(résultats!P9-résultats!P59)/résultats!P60</f>
        <v>-0.70445679353543078</v>
      </c>
      <c r="Q5" s="71">
        <f>(résultats!Q9-résultats!Q59)/résultats!Q60</f>
        <v>-0.62574106945604135</v>
      </c>
      <c r="R5" s="71">
        <f>(résultats!R9-résultats!R59)/résultats!R60</f>
        <v>-0.93441462749811421</v>
      </c>
      <c r="S5" s="71">
        <f>(résultats!S9-résultats!S59)/résultats!S60</f>
        <v>1.1080780013966225</v>
      </c>
      <c r="T5" s="71">
        <f>(résultats!T9-résultats!T59)/résultats!T60</f>
        <v>1.5332764124720311</v>
      </c>
      <c r="U5" s="71">
        <f>(résultats!U9-résultats!U59)/résultats!U60</f>
        <v>2.2412459875406019</v>
      </c>
      <c r="V5" s="71">
        <f>(résultats!V9-résultats!V59)/résultats!V60</f>
        <v>2.1232996598381022</v>
      </c>
      <c r="W5" s="71">
        <f>(résultats!W9-résultats!W59)/résultats!W60</f>
        <v>-2.1277218715189399</v>
      </c>
      <c r="X5" s="71">
        <f>(résultats!X9-résultats!X59)/résultats!X60</f>
        <v>0.89067072608066211</v>
      </c>
      <c r="Y5" s="71">
        <f>(résultats!Y9-résultats!Y59)/résultats!Y60</f>
        <v>0.88394286333420424</v>
      </c>
      <c r="Z5" s="71">
        <f>(résultats!Z9-résultats!Z59)/résultats!Z60</f>
        <v>-1.0393220032506398</v>
      </c>
      <c r="AA5" s="71">
        <f>(résultats!AA9-résultats!AA59)/résultats!AA60</f>
        <v>-1.0767123446567146</v>
      </c>
      <c r="AB5" s="71"/>
      <c r="AC5" s="71">
        <f t="shared" si="0"/>
        <v>-1.3112090231537477</v>
      </c>
      <c r="AD5" s="71"/>
    </row>
    <row r="6" spans="1:30">
      <c r="A6" s="88"/>
      <c r="B6" s="89">
        <v>2</v>
      </c>
      <c r="C6" s="2" t="s">
        <v>55</v>
      </c>
      <c r="D6" s="17">
        <f>D3*2</f>
        <v>18804</v>
      </c>
      <c r="E6" s="13">
        <f>(résultats!E10-résultats!E59)/résultats!E60</f>
        <v>-0.37657516028547133</v>
      </c>
      <c r="F6" s="13">
        <f>(résultats!F10-résultats!F59)/résultats!F60</f>
        <v>0.23177880398398851</v>
      </c>
      <c r="G6" s="13">
        <f>(résultats!G10-résultats!G59)/résultats!G60</f>
        <v>-1.4220866272263033</v>
      </c>
      <c r="H6" s="13">
        <f>(résultats!H10-résultats!H59)/résultats!H60</f>
        <v>-0.27781320094307543</v>
      </c>
      <c r="I6" s="13">
        <f>(résultats!I10-résultats!I59)/résultats!I60</f>
        <v>-1.4101193599092061</v>
      </c>
      <c r="J6" s="13">
        <f>(résultats!J10-résultats!J59)/résultats!J60</f>
        <v>-0.28991404444976604</v>
      </c>
      <c r="K6" s="13">
        <f>(résultats!K10-résultats!K59)/résultats!K60</f>
        <v>1.132439137327043</v>
      </c>
      <c r="L6" s="13">
        <f>(résultats!L10-résultats!L59)/résultats!L60</f>
        <v>-0.55253355712876429</v>
      </c>
      <c r="M6" s="13">
        <f>(résultats!M10-résultats!M59)/résultats!M60</f>
        <v>-1.4105234394842729</v>
      </c>
      <c r="N6" s="13">
        <f>(résultats!N10-résultats!N59)/résultats!N60</f>
        <v>-0.30307469959389211</v>
      </c>
      <c r="O6" s="13">
        <f>(résultats!O10-résultats!O59)/résultats!O60</f>
        <v>-1.2748357142885636</v>
      </c>
      <c r="P6" s="13">
        <f>(résultats!P10-résultats!P59)/résultats!P60</f>
        <v>-0.45338183344324146</v>
      </c>
      <c r="Q6" s="13">
        <f>(résultats!Q10-résultats!Q59)/résultats!Q60</f>
        <v>-1.4256396797553863</v>
      </c>
      <c r="R6" s="13">
        <f>(résultats!R10-résultats!R59)/résultats!R60</f>
        <v>-0.31881420094250706</v>
      </c>
      <c r="S6" s="13">
        <f>(résultats!S10-résultats!S59)/résultats!S60</f>
        <v>1.6811527001297635</v>
      </c>
      <c r="T6" s="13">
        <f>(résultats!T10-résultats!T59)/résultats!T60</f>
        <v>1.0379750271127317</v>
      </c>
      <c r="U6" s="13">
        <f>(résultats!U10-résultats!U59)/résultats!U60</f>
        <v>1.0780747437138127</v>
      </c>
      <c r="V6" s="13">
        <f>(résultats!V10-résultats!V59)/résultats!V60</f>
        <v>1.3985250962127309</v>
      </c>
      <c r="W6" s="13">
        <f>(résultats!W10-résultats!W59)/résultats!W60</f>
        <v>-1.3064650996666793</v>
      </c>
      <c r="X6" s="13">
        <f>(résultats!X10-résultats!X59)/résultats!X60</f>
        <v>-2.4755858662642316</v>
      </c>
      <c r="Y6" s="13">
        <f>(résultats!Y10-résultats!Y59)/résultats!Y60</f>
        <v>-2.1827262387678261</v>
      </c>
      <c r="Z6" s="13">
        <f>(résultats!Z10-résultats!Z59)/résultats!Z60</f>
        <v>-0.98389149641060569</v>
      </c>
      <c r="AA6" s="13">
        <f>(résultats!AA10-résultats!AA59)/résultats!AA60</f>
        <v>-0.99915875028301437</v>
      </c>
      <c r="AB6" s="72"/>
      <c r="AC6" s="13">
        <f t="shared" si="0"/>
        <v>-3.1228240222507395</v>
      </c>
      <c r="AD6" s="72"/>
    </row>
    <row r="7" spans="1:30">
      <c r="A7" s="88"/>
      <c r="B7" s="90"/>
      <c r="C7" s="1" t="s">
        <v>56</v>
      </c>
      <c r="D7" s="17">
        <v>18804</v>
      </c>
      <c r="E7" s="14">
        <f>(résultats!E11-résultats!E59)/résultats!E60</f>
        <v>1.6548703401734339</v>
      </c>
      <c r="F7" s="14">
        <f>(résultats!F11-résultats!F59)/résultats!F60</f>
        <v>-0.36023881814474057</v>
      </c>
      <c r="G7" s="14">
        <f>(résultats!G11-résultats!G59)/résultats!G60</f>
        <v>-0.12031453684222192</v>
      </c>
      <c r="H7" s="14">
        <f>(résultats!H11-résultats!H59)/résultats!H60</f>
        <v>-0.41365664868910973</v>
      </c>
      <c r="I7" s="14">
        <f>(résultats!I11-résultats!I59)/résultats!I60</f>
        <v>0.1598984482913991</v>
      </c>
      <c r="J7" s="14">
        <f>(résultats!J11-résultats!J59)/résultats!J60</f>
        <v>-0.45466866244020299</v>
      </c>
      <c r="K7" s="14">
        <f>(résultats!K11-résultats!K59)/résultats!K60</f>
        <v>-3.3296018627195334E-2</v>
      </c>
      <c r="L7" s="14">
        <f>(résultats!L11-résultats!L59)/résultats!L60</f>
        <v>0.52441430872255246</v>
      </c>
      <c r="M7" s="14">
        <f>(résultats!M11-résultats!M59)/résultats!M60</f>
        <v>-0.12136415232421975</v>
      </c>
      <c r="N7" s="14">
        <f>(résultats!N11-résultats!N59)/résultats!N60</f>
        <v>-0.43498697753493371</v>
      </c>
      <c r="O7" s="14">
        <f>(résultats!O11-résultats!O59)/résultats!O60</f>
        <v>-0.53640109417686144</v>
      </c>
      <c r="P7" s="14">
        <f>(résultats!P11-résultats!P59)/résultats!P60</f>
        <v>-0.48357755954070747</v>
      </c>
      <c r="Q7" s="14">
        <f>(résultats!Q11-résultats!Q59)/résultats!Q60</f>
        <v>0.16173753419028655</v>
      </c>
      <c r="R7" s="14">
        <f>(résultats!R11-résultats!R59)/résultats!R60</f>
        <v>-0.47693475579496591</v>
      </c>
      <c r="S7" s="14">
        <f>(résultats!S11-résultats!S59)/résultats!S60</f>
        <v>-0.42446267021549811</v>
      </c>
      <c r="T7" s="14">
        <f>(résultats!T11-résultats!T59)/résultats!T60</f>
        <v>-0.77666898650453209</v>
      </c>
      <c r="U7" s="14">
        <f>(résultats!U11-résultats!U59)/résultats!U60</f>
        <v>-1.2068737494975328</v>
      </c>
      <c r="V7" s="14">
        <f>(résultats!V11-résultats!V59)/résultats!V60</f>
        <v>-0.89074081620749546</v>
      </c>
      <c r="W7" s="14">
        <f>(résultats!W11-résultats!W59)/résultats!W60</f>
        <v>1.1763157893126128</v>
      </c>
      <c r="X7" s="14">
        <f>(résultats!X11-résultats!X59)/résultats!X60</f>
        <v>-0.46364351521159985</v>
      </c>
      <c r="Y7" s="14">
        <f>(résultats!Y11-résultats!Y59)/résultats!Y60</f>
        <v>-0.5186965052832383</v>
      </c>
      <c r="Z7" s="14">
        <f>(résultats!Z11-résultats!Z59)/résultats!Z60</f>
        <v>-0.78064630466381391</v>
      </c>
      <c r="AA7" s="14">
        <f>(résultats!AA11-résultats!AA59)/résultats!AA60</f>
        <v>-0.76649796716191354</v>
      </c>
      <c r="AB7" s="14"/>
      <c r="AC7" s="14">
        <f t="shared" si="0"/>
        <v>5.7796301936049455E-2</v>
      </c>
      <c r="AD7" s="14"/>
    </row>
    <row r="8" spans="1:30">
      <c r="A8" s="88"/>
      <c r="B8" s="91"/>
      <c r="C8" s="3" t="s">
        <v>57</v>
      </c>
      <c r="D8" s="17">
        <v>18804</v>
      </c>
      <c r="E8" s="71">
        <f>(résultats!E12-résultats!E59)/résultats!E60</f>
        <v>0.85358691243086682</v>
      </c>
      <c r="F8" s="71">
        <f>(résultats!F12-résultats!F59)/résultats!F60</f>
        <v>-2.7634667842194465</v>
      </c>
      <c r="G8" s="71">
        <f>(résultats!G12-résultats!G59)/résultats!G60</f>
        <v>-0.50103381151736504</v>
      </c>
      <c r="H8" s="71">
        <f>(résultats!H12-résultats!H59)/résultats!H60</f>
        <v>-1.4526661862444303</v>
      </c>
      <c r="I8" s="71">
        <f>(résultats!I12-résultats!I59)/résultats!I60</f>
        <v>-0.33723219049950881</v>
      </c>
      <c r="J8" s="71">
        <f>(résultats!J12-résultats!J59)/résultats!J60</f>
        <v>-2.0396309091388312</v>
      </c>
      <c r="K8" s="71">
        <f>(résultats!K12-résultats!K59)/résultats!K60</f>
        <v>1.3221994443763148</v>
      </c>
      <c r="L8" s="71">
        <f>(résultats!L12-résultats!L59)/résultats!L60</f>
        <v>2.5338925473205625</v>
      </c>
      <c r="M8" s="71">
        <f>(résultats!M12-résultats!M59)/résultats!M60</f>
        <v>-0.58597436196436203</v>
      </c>
      <c r="N8" s="71">
        <f>(résultats!N12-résultats!N59)/résultats!N60</f>
        <v>-1.4983581678895133</v>
      </c>
      <c r="O8" s="71">
        <f>(résultats!O12-résultats!O59)/résultats!O60</f>
        <v>-0.38238906281886159</v>
      </c>
      <c r="P8" s="71">
        <f>(résultats!P12-résultats!P59)/résultats!P60</f>
        <v>-0.79154060029165862</v>
      </c>
      <c r="Q8" s="71">
        <f>(résultats!Q12-résultats!Q59)/résultats!Q60</f>
        <v>-0.41987005008633754</v>
      </c>
      <c r="R8" s="71">
        <f>(résultats!R12-résultats!R59)/résultats!R60</f>
        <v>-2.0996762005995007</v>
      </c>
      <c r="S8" s="71">
        <f>(résultats!S12-résultats!S59)/résultats!S60</f>
        <v>7.046547869039925E-2</v>
      </c>
      <c r="T8" s="71">
        <f>(résultats!T12-résultats!T59)/résultats!T60</f>
        <v>0.41994409493873763</v>
      </c>
      <c r="U8" s="71">
        <f>(résultats!U12-résultats!U59)/résultats!U60</f>
        <v>-6.0260103447636985E-2</v>
      </c>
      <c r="V8" s="71">
        <f>(résultats!V12-résultats!V59)/résultats!V60</f>
        <v>-0.1627734130947871</v>
      </c>
      <c r="W8" s="71">
        <f>(résultats!W12-résultats!W59)/résultats!W60</f>
        <v>2.0472925224247356E-2</v>
      </c>
      <c r="X8" s="71">
        <f>(résultats!X12-résultats!X59)/résultats!X60</f>
        <v>-9.0334035371401316E-3</v>
      </c>
      <c r="Y8" s="71">
        <f>(résultats!Y12-résultats!Y59)/résultats!Y60</f>
        <v>-7.7600264569932478E-2</v>
      </c>
      <c r="Z8" s="71">
        <f>(résultats!Z12-résultats!Z59)/résultats!Z60</f>
        <v>-1.0023683320239505</v>
      </c>
      <c r="AA8" s="71">
        <f>(résultats!AA12-résultats!AA59)/résultats!AA60</f>
        <v>-1.0681814492756077</v>
      </c>
      <c r="AB8" s="71"/>
      <c r="AC8" s="71">
        <f t="shared" si="0"/>
        <v>-1.7048282824258552</v>
      </c>
      <c r="AD8" s="71"/>
    </row>
    <row r="9" spans="1:30">
      <c r="A9" s="88"/>
      <c r="B9" s="89">
        <v>3</v>
      </c>
      <c r="C9" s="2" t="s">
        <v>55</v>
      </c>
      <c r="D9" s="17">
        <f>D3*3</f>
        <v>28206</v>
      </c>
      <c r="E9" s="13">
        <f>(résultats!E13-résultats!E59)/résultats!E60</f>
        <v>0.3182146987277184</v>
      </c>
      <c r="F9" s="13">
        <f>(résultats!F13-résultats!F59)/résultats!F60</f>
        <v>-0.9994189101707468</v>
      </c>
      <c r="G9" s="13">
        <f>(résultats!G13-résultats!G59)/résultats!G60</f>
        <v>-1.1015497808503232</v>
      </c>
      <c r="H9" s="13">
        <f>(résultats!H13-résultats!H59)/résultats!H60</f>
        <v>-1.2302600367801013</v>
      </c>
      <c r="I9" s="13">
        <f>(résultats!I13-résultats!I59)/résultats!I60</f>
        <v>-0.96973936482236422</v>
      </c>
      <c r="J9" s="13">
        <f>(résultats!J13-résultats!J59)/résultats!J60</f>
        <v>-1.2283219405263586</v>
      </c>
      <c r="K9" s="13">
        <f>(résultats!K13-résultats!K59)/résultats!K60</f>
        <v>0.78824383098468731</v>
      </c>
      <c r="L9" s="13">
        <f>(résultats!L13-résultats!L59)/résultats!L60</f>
        <v>0.82247189245952579</v>
      </c>
      <c r="M9" s="13">
        <f>(résultats!M13-résultats!M59)/résultats!M60</f>
        <v>-1.1046686501978371</v>
      </c>
      <c r="N9" s="13">
        <f>(résultats!N13-résultats!N59)/résultats!N60</f>
        <v>-1.2656952639567853</v>
      </c>
      <c r="O9" s="13">
        <f>(résultats!O13-résultats!O59)/résultats!O60</f>
        <v>-1.1556984185826569</v>
      </c>
      <c r="P9" s="13">
        <f>(résultats!P13-résultats!P59)/résultats!P60</f>
        <v>-1.2411399474334868</v>
      </c>
      <c r="Q9" s="13">
        <f>(résultats!Q13-résultats!Q59)/résultats!Q60</f>
        <v>-0.99156671996308143</v>
      </c>
      <c r="R9" s="13">
        <f>(résultats!R13-résultats!R59)/résultats!R60</f>
        <v>-1.2707133128714188</v>
      </c>
      <c r="S9" s="13">
        <f>(résultats!S13-résultats!S59)/résultats!S60</f>
        <v>1.4988107505328532</v>
      </c>
      <c r="T9" s="13">
        <f>(résultats!T13-résultats!T59)/résultats!T60</f>
        <v>1.2922005169431687</v>
      </c>
      <c r="U9" s="13">
        <f>(résultats!U13-résultats!U59)/résultats!U60</f>
        <v>0.59790440818389168</v>
      </c>
      <c r="V9" s="13">
        <f>(résultats!V13-résultats!V59)/résultats!V60</f>
        <v>1.4176821331367491</v>
      </c>
      <c r="W9" s="13">
        <f>(résultats!W13-résultats!W59)/résultats!W60</f>
        <v>0.36646536151385639</v>
      </c>
      <c r="X9" s="13">
        <f>(résultats!X13-résultats!X59)/résultats!X60</f>
        <v>-2.5951300912709461</v>
      </c>
      <c r="Y9" s="13">
        <f>(résultats!Y13-résultats!Y59)/résultats!Y60</f>
        <v>-2.2690784128757211</v>
      </c>
      <c r="Z9" s="13">
        <f>(résultats!Z13-résultats!Z59)/résultats!Z60</f>
        <v>-0.90998415395722687</v>
      </c>
      <c r="AA9" s="13">
        <f>(résultats!AA13-résultats!AA59)/résultats!AA60</f>
        <v>-0.93892545865277388</v>
      </c>
      <c r="AB9" s="72"/>
      <c r="AC9" s="13">
        <f t="shared" si="0"/>
        <v>-2.2631898480022485</v>
      </c>
      <c r="AD9" s="72"/>
    </row>
    <row r="10" spans="1:30">
      <c r="A10" s="88"/>
      <c r="B10" s="90"/>
      <c r="C10" s="1" t="s">
        <v>56</v>
      </c>
      <c r="D10" s="17">
        <v>28206</v>
      </c>
      <c r="E10" s="14">
        <f>(résultats!E14-résultats!E59)/résultats!E60</f>
        <v>0.40211872257510656</v>
      </c>
      <c r="F10" s="14">
        <f>(résultats!F14-résultats!F59)/résultats!F60</f>
        <v>-0.14089045814976875</v>
      </c>
      <c r="G10" s="14">
        <f>(résultats!G14-résultats!G59)/résultats!G60</f>
        <v>-0.33987335628936838</v>
      </c>
      <c r="H10" s="14">
        <f>(résultats!H14-résultats!H59)/résultats!H60</f>
        <v>-0.37166088250894669</v>
      </c>
      <c r="I10" s="14">
        <f>(résultats!I14-résultats!I59)/résultats!I60</f>
        <v>-0.28248156948104824</v>
      </c>
      <c r="J10" s="14">
        <f>(résultats!J14-résultats!J59)/résultats!J60</f>
        <v>-0.3376639177512038</v>
      </c>
      <c r="K10" s="14">
        <f>(résultats!K14-résultats!K59)/résultats!K60</f>
        <v>0.34169570986158054</v>
      </c>
      <c r="L10" s="14">
        <f>(résultats!L14-résultats!L59)/résultats!L60</f>
        <v>0.20392904463406164</v>
      </c>
      <c r="M10" s="14">
        <f>(résultats!M14-résultats!M59)/résultats!M60</f>
        <v>-0.36241129571002428</v>
      </c>
      <c r="N10" s="14">
        <f>(résultats!N14-résultats!N59)/résultats!N60</f>
        <v>-0.35474168728193806</v>
      </c>
      <c r="O10" s="14">
        <f>(résultats!O14-résultats!O59)/résultats!O60</f>
        <v>-0.39516924544913162</v>
      </c>
      <c r="P10" s="14">
        <f>(résultats!P14-résultats!P59)/résultats!P60</f>
        <v>-0.59084745943391503</v>
      </c>
      <c r="Q10" s="14">
        <f>(résultats!Q14-résultats!Q59)/résultats!Q60</f>
        <v>-0.30181725957634992</v>
      </c>
      <c r="R10" s="14">
        <f>(résultats!R14-résultats!R59)/résultats!R60</f>
        <v>-0.33761817813162076</v>
      </c>
      <c r="S10" s="14">
        <f>(résultats!S14-résultats!S59)/résultats!S60</f>
        <v>0.74773557719320682</v>
      </c>
      <c r="T10" s="14">
        <f>(résultats!T14-résultats!T59)/résultats!T60</f>
        <v>-3.1525309415316352E-2</v>
      </c>
      <c r="U10" s="14">
        <f>(résultats!U14-résultats!U59)/résultats!U60</f>
        <v>0.23363725709222841</v>
      </c>
      <c r="V10" s="14">
        <f>(résultats!V14-résultats!V59)/résultats!V60</f>
        <v>0.89086361772623723</v>
      </c>
      <c r="W10" s="14">
        <f>(résultats!W14-résultats!W59)/résultats!W60</f>
        <v>-0.33312374043436799</v>
      </c>
      <c r="X10" s="14">
        <f>(résultats!X14-résultats!X59)/résultats!X60</f>
        <v>-0.33325886902825019</v>
      </c>
      <c r="Y10" s="14">
        <f>(résultats!Y14-résultats!Y59)/résultats!Y60</f>
        <v>-0.39500285048003592</v>
      </c>
      <c r="Z10" s="14">
        <f>(résultats!Z14-résultats!Z59)/résultats!Z60</f>
        <v>-0.79912314027715858</v>
      </c>
      <c r="AA10" s="14">
        <f>(résultats!AA14-résultats!AA59)/résultats!AA60</f>
        <v>-0.85284096889796668</v>
      </c>
      <c r="AB10" s="14"/>
      <c r="AC10" s="14">
        <f t="shared" si="0"/>
        <v>-0.76655892533258008</v>
      </c>
      <c r="AD10" s="14"/>
    </row>
    <row r="11" spans="1:30">
      <c r="A11" s="88"/>
      <c r="B11" s="91"/>
      <c r="C11" s="3" t="s">
        <v>57</v>
      </c>
      <c r="D11" s="17">
        <v>28206</v>
      </c>
      <c r="E11" s="71">
        <f>(résultats!E15-résultats!E59)/résultats!E60</f>
        <v>0.73095795450006673</v>
      </c>
      <c r="F11" s="71">
        <f>(résultats!F15-résultats!F59)/résultats!F60</f>
        <v>-1.5154620807922268</v>
      </c>
      <c r="G11" s="71">
        <f>(résultats!G15-résultats!G59)/résultats!G60</f>
        <v>-0.10651777462344171</v>
      </c>
      <c r="H11" s="71">
        <f>(résultats!H15-résultats!H59)/résultats!H60</f>
        <v>-0.34774900747983423</v>
      </c>
      <c r="I11" s="71">
        <f>(résultats!I15-résultats!I59)/résultats!I60</f>
        <v>-7.3534487923914028E-3</v>
      </c>
      <c r="J11" s="71">
        <f>(résultats!J15-résultats!J59)/résultats!J60</f>
        <v>-0.15175540368421031</v>
      </c>
      <c r="K11" s="71">
        <f>(résultats!K15-résultats!K59)/résultats!K60</f>
        <v>-0.2185274400666995</v>
      </c>
      <c r="L11" s="71">
        <f>(résultats!L15-résultats!L59)/résultats!L60</f>
        <v>-0.26663303376924802</v>
      </c>
      <c r="M11" s="71">
        <f>(résultats!M15-résultats!M59)/résultats!M60</f>
        <v>-0.10236478850802734</v>
      </c>
      <c r="N11" s="71">
        <f>(résultats!N15-résultats!N59)/résultats!N60</f>
        <v>-0.25576711399202656</v>
      </c>
      <c r="O11" s="71">
        <f>(résultats!O15-résultats!O59)/résultats!O60</f>
        <v>-0.36635968121479451</v>
      </c>
      <c r="P11" s="71">
        <f>(résultats!P15-résultats!P59)/résultats!P60</f>
        <v>-0.95119424601141012</v>
      </c>
      <c r="Q11" s="71">
        <f>(résultats!Q15-résultats!Q59)/résultats!Q60</f>
        <v>3.5392676301444544E-3</v>
      </c>
      <c r="R11" s="71">
        <f>(résultats!R15-résultats!R59)/résultats!R60</f>
        <v>-0.10553531300198213</v>
      </c>
      <c r="S11" s="71">
        <f>(résultats!S15-résultats!S59)/résultats!S60</f>
        <v>0.28753922821052957</v>
      </c>
      <c r="T11" s="71">
        <f>(résultats!T15-résultats!T59)/résultats!T60</f>
        <v>1.9233810434187377</v>
      </c>
      <c r="U11" s="71">
        <f>(résultats!U15-résultats!U59)/résultats!U60</f>
        <v>0.25019485486912185</v>
      </c>
      <c r="V11" s="71">
        <f>(résultats!V15-résultats!V59)/résultats!V60</f>
        <v>0.17247473307553859</v>
      </c>
      <c r="W11" s="71">
        <f>(résultats!W15-résultats!W59)/résultats!W60</f>
        <v>-0.32551951106536708</v>
      </c>
      <c r="X11" s="71">
        <f>(résultats!X15-résultats!X59)/résultats!X60</f>
        <v>9.2795745431242332E-2</v>
      </c>
      <c r="Y11" s="71">
        <f>(résultats!Y15-résultats!Y59)/résultats!Y60</f>
        <v>2.5088807342159319E-2</v>
      </c>
      <c r="Z11" s="71">
        <f>(résultats!Z15-résultats!Z59)/résultats!Z60</f>
        <v>-0.94693782518391634</v>
      </c>
      <c r="AA11" s="71">
        <f>(résultats!AA15-résultats!AA59)/résultats!AA60</f>
        <v>-0.98209695952080045</v>
      </c>
      <c r="AB11" s="71"/>
      <c r="AC11" s="71">
        <f t="shared" si="0"/>
        <v>7.576933305252978E-2</v>
      </c>
      <c r="AD11" s="71"/>
    </row>
    <row r="12" spans="1:30">
      <c r="A12" s="88"/>
      <c r="B12" s="89">
        <v>4</v>
      </c>
      <c r="C12" s="2" t="s">
        <v>55</v>
      </c>
      <c r="D12" s="17">
        <f>D3*4</f>
        <v>37608</v>
      </c>
      <c r="E12" s="13">
        <f>(résultats!E16-résultats!E59)/résultats!E60</f>
        <v>0.20462155874971324</v>
      </c>
      <c r="F12" s="13">
        <f>(résultats!F16-résultats!F59)/résultats!F60</f>
        <v>0.11327237962392184</v>
      </c>
      <c r="G12" s="13">
        <f>(résultats!G16-résultats!G59)/résultats!G60</f>
        <v>-1.1096375380130572</v>
      </c>
      <c r="H12" s="13">
        <f>(résultats!H16-résultats!H59)/résultats!H60</f>
        <v>-0.73830963295534369</v>
      </c>
      <c r="I12" s="13">
        <f>(résultats!I16-résultats!I59)/résultats!I60</f>
        <v>-1.0043647575669157</v>
      </c>
      <c r="J12" s="13">
        <f>(résultats!J16-résultats!J59)/résultats!J60</f>
        <v>-0.46967827334929479</v>
      </c>
      <c r="K12" s="13">
        <f>(résultats!K16-résultats!K59)/résultats!K60</f>
        <v>0.75880607452119753</v>
      </c>
      <c r="L12" s="13">
        <f>(résultats!L16-résultats!L59)/résultats!L60</f>
        <v>0.51959340546942234</v>
      </c>
      <c r="M12" s="13">
        <f>(résultats!M16-résultats!M59)/résultats!M60</f>
        <v>-1.1046686501978371</v>
      </c>
      <c r="N12" s="13">
        <f>(résultats!N16-résultats!N59)/résultats!N60</f>
        <v>-0.73287945342381822</v>
      </c>
      <c r="O12" s="13">
        <f>(résultats!O16-résultats!O59)/résultats!O60</f>
        <v>-1.1489834073701422</v>
      </c>
      <c r="P12" s="13">
        <f>(résultats!P16-résultats!P59)/résultats!P60</f>
        <v>-1.4867096093974093</v>
      </c>
      <c r="Q12" s="13">
        <f>(résultats!Q16-résultats!Q59)/résultats!Q60</f>
        <v>-1.0195430985855336</v>
      </c>
      <c r="R12" s="13">
        <f>(résultats!R16-résultats!R59)/résultats!R60</f>
        <v>-0.49741019762311234</v>
      </c>
      <c r="S12" s="13">
        <f>(résultats!S16-résultats!S59)/résultats!S60</f>
        <v>0.34831987807616632</v>
      </c>
      <c r="T12" s="13">
        <f>(résultats!T16-résultats!T59)/résultats!T60</f>
        <v>0.23584977471669566</v>
      </c>
      <c r="U12" s="13">
        <f>(résultats!U16-résultats!U59)/résultats!U60</f>
        <v>-1.3558921294895776</v>
      </c>
      <c r="V12" s="13">
        <f>(résultats!V16-résultats!V59)/résultats!V60</f>
        <v>-1.3058099495612321</v>
      </c>
      <c r="W12" s="13">
        <f>(résultats!W16-résultats!W59)/résultats!W60</f>
        <v>1.1458988718366039</v>
      </c>
      <c r="X12" s="13">
        <f>(résultats!X16-résultats!X59)/résultats!X60</f>
        <v>-1.300507925376144</v>
      </c>
      <c r="Y12" s="13">
        <f>(résultats!Y16-résultats!Y59)/résultats!Y60</f>
        <v>-1.2631922766459072</v>
      </c>
      <c r="Z12" s="13">
        <f>(résultats!Z16-résultats!Z59)/résultats!Z60</f>
        <v>-0.89150731834388219</v>
      </c>
      <c r="AA12" s="13">
        <f>(résultats!AA16-résultats!AA59)/résultats!AA60</f>
        <v>-0.88722306240364035</v>
      </c>
      <c r="AB12" s="72"/>
      <c r="AC12" s="13">
        <f t="shared" si="0"/>
        <v>-2.270920333010559</v>
      </c>
      <c r="AD12" s="72"/>
    </row>
    <row r="13" spans="1:30">
      <c r="A13" s="88"/>
      <c r="B13" s="90"/>
      <c r="C13" s="1" t="s">
        <v>56</v>
      </c>
      <c r="D13" s="17">
        <v>37608</v>
      </c>
      <c r="E13" s="14">
        <f>(résultats!E17-résultats!E59)/résultats!E60</f>
        <v>0.19397220187677588</v>
      </c>
      <c r="F13" s="14">
        <f>(résultats!F17-résultats!F59)/résultats!F60</f>
        <v>-3.799052382843688E-2</v>
      </c>
      <c r="G13" s="14">
        <f>(résultats!G17-résultats!G59)/résultats!G60</f>
        <v>-0.24234451991522929</v>
      </c>
      <c r="H13" s="14">
        <f>(résultats!H17-résultats!H59)/résultats!H60</f>
        <v>-0.26889981383544947</v>
      </c>
      <c r="I13" s="14">
        <f>(résultats!I17-résultats!I59)/résultats!I60</f>
        <v>-0.23898107606912045</v>
      </c>
      <c r="J13" s="14">
        <f>(résultats!J17-résultats!J59)/résultats!J60</f>
        <v>-0.21390045937799401</v>
      </c>
      <c r="K13" s="14">
        <f>(résultats!K17-résultats!K59)/résultats!K60</f>
        <v>0.24206022644668762</v>
      </c>
      <c r="L13" s="14">
        <f>(résultats!L17-résultats!L59)/résultats!L60</f>
        <v>-0.310021163047415</v>
      </c>
      <c r="M13" s="14">
        <f>(résultats!M17-résultats!M59)/résultats!M60</f>
        <v>-0.26158645091857374</v>
      </c>
      <c r="N13" s="14">
        <f>(résultats!N17-résultats!N59)/résultats!N60</f>
        <v>-0.26319424347218362</v>
      </c>
      <c r="O13" s="14">
        <f>(résultats!O17-résultats!O59)/résultats!O60</f>
        <v>-0.26108563446375654</v>
      </c>
      <c r="P13" s="14">
        <f>(résultats!P17-résultats!P59)/résultats!P60</f>
        <v>-0.67309327692590815</v>
      </c>
      <c r="Q13" s="14">
        <f>(résultats!Q17-résultats!Q59)/résultats!Q60</f>
        <v>-0.25063177761240135</v>
      </c>
      <c r="R13" s="14">
        <f>(résultats!R17-résultats!R59)/résultats!R60</f>
        <v>-0.18827281263408313</v>
      </c>
      <c r="S13" s="14">
        <f>(résultats!S17-résultats!S59)/résultats!S60</f>
        <v>0.63485722744273687</v>
      </c>
      <c r="T13" s="14">
        <f>(résultats!T17-résultats!T59)/résultats!T60</f>
        <v>1.2659013283400191</v>
      </c>
      <c r="U13" s="14">
        <f>(résultats!U17-résultats!U59)/résultats!U60</f>
        <v>0.96217155927555575</v>
      </c>
      <c r="V13" s="14">
        <f>(résultats!V17-résultats!V59)/résultats!V60</f>
        <v>0.61308658232796676</v>
      </c>
      <c r="W13" s="14">
        <f>(résultats!W17-résultats!W59)/résultats!W60</f>
        <v>-0.97187900743056888</v>
      </c>
      <c r="X13" s="14">
        <f>(résultats!X17-résultats!X59)/résultats!X60</f>
        <v>0.29661383902280203</v>
      </c>
      <c r="Y13" s="14">
        <f>(résultats!Y17-résultats!Y59)/résultats!Y60</f>
        <v>0.23513463625325695</v>
      </c>
      <c r="Z13" s="14">
        <f>(résultats!Z17-résultats!Z59)/résultats!Z60</f>
        <v>-0.61435478414371159</v>
      </c>
      <c r="AA13" s="14">
        <f>(résultats!AA17-résultats!AA59)/résultats!AA60</f>
        <v>-0.65456227928253952</v>
      </c>
      <c r="AB13" s="14"/>
      <c r="AC13" s="14">
        <f t="shared" si="0"/>
        <v>-0.57406028850915225</v>
      </c>
      <c r="AD13" s="14"/>
    </row>
    <row r="14" spans="1:30">
      <c r="A14" s="88"/>
      <c r="B14" s="91"/>
      <c r="C14" s="3" t="s">
        <v>57</v>
      </c>
      <c r="D14" s="17">
        <v>37608</v>
      </c>
      <c r="E14" s="71">
        <f>(résultats!E18-résultats!E59)/résultats!E60</f>
        <v>0.79485409573769461</v>
      </c>
      <c r="F14" s="71">
        <f>(résultats!F18-résultats!F59)/résultats!F60</f>
        <v>0.42608817996077092</v>
      </c>
      <c r="G14" s="71">
        <f>(résultats!G18-résultats!G59)/résultats!G60</f>
        <v>-0.11198890446882065</v>
      </c>
      <c r="H14" s="71">
        <f>(résultats!H18-résultats!H59)/résultats!H60</f>
        <v>0.2233934125703714</v>
      </c>
      <c r="I14" s="71">
        <f>(résultats!I18-résultats!I59)/résultats!I60</f>
        <v>-6.6034402852898849E-3</v>
      </c>
      <c r="J14" s="71">
        <f>(résultats!J18-résultats!J59)/résultats!J60</f>
        <v>0.31626357507178837</v>
      </c>
      <c r="K14" s="71">
        <f>(résultats!K18-résultats!K59)/résultats!K60</f>
        <v>-0.16735103267632329</v>
      </c>
      <c r="L14" s="71">
        <f>(résultats!L18-résultats!L59)/résultats!L60</f>
        <v>2.5555624268263723E-2</v>
      </c>
      <c r="M14" s="71">
        <f>(résultats!M18-résultats!M59)/résultats!M60</f>
        <v>-0.10912529833219446</v>
      </c>
      <c r="N14" s="71">
        <f>(résultats!N18-résultats!N59)/résultats!N60</f>
        <v>0.22723849122293294</v>
      </c>
      <c r="O14" s="71">
        <f>(résultats!O18-résultats!O59)/résultats!O60</f>
        <v>-0.37155839957287007</v>
      </c>
      <c r="P14" s="71">
        <f>(résultats!P18-résultats!P59)/résultats!P60</f>
        <v>-0.37764227737556394</v>
      </c>
      <c r="Q14" s="71">
        <f>(résultats!Q18-résultats!Q59)/résultats!Q60</f>
        <v>3.2883584048297855E-3</v>
      </c>
      <c r="R14" s="71">
        <f>(résultats!R18-résultats!R59)/résultats!R60</f>
        <v>0.3058957078958256</v>
      </c>
      <c r="S14" s="71">
        <f>(résultats!S18-résultats!S59)/résultats!S60</f>
        <v>0.49158855275945157</v>
      </c>
      <c r="T14" s="71">
        <f>(résultats!T18-résultats!T59)/résultats!T60</f>
        <v>-0.42601313846255001</v>
      </c>
      <c r="U14" s="71">
        <f>(résultats!U18-résultats!U59)/résultats!U60</f>
        <v>0.75934098650860649</v>
      </c>
      <c r="V14" s="71">
        <f>(résultats!V18-résultats!V59)/résultats!V60</f>
        <v>0.83019966746684448</v>
      </c>
      <c r="W14" s="71">
        <f>(résultats!W18-résultats!W59)/résultats!W60</f>
        <v>-0.71713732356898696</v>
      </c>
      <c r="X14" s="71">
        <f>(résultats!X18-résultats!X59)/résultats!X60</f>
        <v>0.25183019720481259</v>
      </c>
      <c r="Y14" s="71">
        <f>(résultats!Y18-résultats!Y59)/résultats!Y60</f>
        <v>0.18845778538412505</v>
      </c>
      <c r="Z14" s="71">
        <f>(résultats!Z18-résultats!Z59)/résultats!Z60</f>
        <v>-0.83607681150384805</v>
      </c>
      <c r="AA14" s="71">
        <f>(résultats!AA18-résultats!AA59)/résultats!AA60</f>
        <v>-0.86137186427907364</v>
      </c>
      <c r="AB14" s="71"/>
      <c r="AC14" s="71">
        <f t="shared" si="0"/>
        <v>3.3946148440451226E-2</v>
      </c>
      <c r="AD14" s="71"/>
    </row>
    <row r="15" spans="1:30">
      <c r="A15" s="88"/>
      <c r="B15" s="89">
        <v>5</v>
      </c>
      <c r="C15" s="2" t="s">
        <v>55</v>
      </c>
      <c r="D15" s="17">
        <f>D3*5</f>
        <v>47010</v>
      </c>
      <c r="E15" s="13">
        <f>(résultats!E19-résultats!E59)/résultats!E60</f>
        <v>-0.12454038095927505</v>
      </c>
      <c r="F15" s="13">
        <f>(résultats!F19-résultats!F59)/résultats!F60</f>
        <v>-1.4895655973213584</v>
      </c>
      <c r="G15" s="13">
        <f>(résultats!G19-résultats!G59)/résultats!G60</f>
        <v>-1.1938453625897516</v>
      </c>
      <c r="H15" s="13">
        <f>(résultats!H19-résultats!H59)/résultats!H60</f>
        <v>-1.7351519930399713</v>
      </c>
      <c r="I15" s="13">
        <f>(résultats!I19-résultats!I59)/résultats!I60</f>
        <v>-1.1601165242084728</v>
      </c>
      <c r="J15" s="13">
        <f>(résultats!J19-résultats!J59)/résultats!J60</f>
        <v>-1.5850415822488595</v>
      </c>
      <c r="K15" s="13">
        <f>(résultats!K19-résultats!K59)/résultats!K60</f>
        <v>0.91188240813134969</v>
      </c>
      <c r="L15" s="13">
        <f>(résultats!L19-résultats!L59)/résultats!L60</f>
        <v>1.3007893369656964</v>
      </c>
      <c r="M15" s="13">
        <f>(résultats!M19-résultats!M59)/résultats!M60</f>
        <v>-1.2033954057335126</v>
      </c>
      <c r="N15" s="13">
        <f>(résultats!N19-résultats!N59)/résultats!N60</f>
        <v>-1.4814856672226366</v>
      </c>
      <c r="O15" s="13">
        <f>(résultats!O19-résultats!O59)/résultats!O60</f>
        <v>-1.1264556278184799</v>
      </c>
      <c r="P15" s="13">
        <f>(résultats!P19-résultats!P59)/résultats!P60</f>
        <v>-1.4581821554600241</v>
      </c>
      <c r="Q15" s="13">
        <f>(résultats!Q19-résultats!Q59)/résultats!Q60</f>
        <v>-1.1900359171860375</v>
      </c>
      <c r="R15" s="13">
        <f>(résultats!R19-résultats!R59)/résultats!R60</f>
        <v>-1.5970667836424803</v>
      </c>
      <c r="S15" s="13">
        <f>(résultats!S19-résultats!S59)/résultats!S60</f>
        <v>1.5074937005136628</v>
      </c>
      <c r="T15" s="13">
        <f>(résultats!T19-résultats!T59)/résultats!T60</f>
        <v>0.70485197147284528</v>
      </c>
      <c r="U15" s="13">
        <f>(résultats!U19-résultats!U59)/résultats!U60</f>
        <v>0.65585600040302028</v>
      </c>
      <c r="V15" s="13">
        <f>(résultats!V19-résultats!V59)/résultats!V60</f>
        <v>0.91640633362492929</v>
      </c>
      <c r="W15" s="13">
        <f>(résultats!W19-résultats!W59)/résultats!W60</f>
        <v>-0.89583671374054896</v>
      </c>
      <c r="X15" s="13">
        <f>(résultats!X19-résultats!X59)/résultats!X60</f>
        <v>-0.70328709621825636</v>
      </c>
      <c r="Y15" s="13">
        <f>(résultats!Y19-résultats!Y59)/résultats!Y60</f>
        <v>-0.74041154691162014</v>
      </c>
      <c r="Z15" s="13">
        <f>(résultats!Z19-résultats!Z59)/résultats!Z60</f>
        <v>-0.81759997589050337</v>
      </c>
      <c r="AA15" s="13">
        <f>(résultats!AA19-résultats!AA59)/résultats!AA60</f>
        <v>-0.80113857264883315</v>
      </c>
      <c r="AB15" s="72"/>
      <c r="AC15" s="13">
        <f t="shared" si="0"/>
        <v>-2.587920739407739</v>
      </c>
      <c r="AD15" s="72"/>
    </row>
    <row r="16" spans="1:30">
      <c r="A16" s="88"/>
      <c r="B16" s="90"/>
      <c r="C16" s="1" t="s">
        <v>56</v>
      </c>
      <c r="D16" s="17">
        <v>47010</v>
      </c>
      <c r="E16" s="14">
        <f>(résultats!E20-résultats!E59)/résultats!E60</f>
        <v>-0.12938099771970063</v>
      </c>
      <c r="F16" s="14">
        <f>(résultats!F20-résultats!F59)/résultats!F60</f>
        <v>-0.5773576795627503</v>
      </c>
      <c r="G16" s="14">
        <f>(résultats!G20-résultats!G59)/résultats!G60</f>
        <v>-0.44037563279686537</v>
      </c>
      <c r="H16" s="14">
        <f>(résultats!H20-résultats!H59)/résultats!H60</f>
        <v>-0.22681834201002091</v>
      </c>
      <c r="I16" s="14">
        <f>(résultats!I20-résultats!I59)/résultats!I60</f>
        <v>-0.48885891035200346</v>
      </c>
      <c r="J16" s="14">
        <f>(résultats!J20-résultats!J59)/résultats!J60</f>
        <v>-0.38752040311005798</v>
      </c>
      <c r="K16" s="14">
        <f>(résultats!K20-résultats!K59)/résultats!K60</f>
        <v>0.67728613354537615</v>
      </c>
      <c r="L16" s="14">
        <f>(résultats!L20-résultats!L59)/résultats!L60</f>
        <v>0.14880306395697018</v>
      </c>
      <c r="M16" s="14">
        <f>(résultats!M20-résultats!M59)/résultats!M60</f>
        <v>-0.47733996272085732</v>
      </c>
      <c r="N16" s="14">
        <f>(résultats!N20-résultats!N59)/résultats!N60</f>
        <v>-0.28313447153303878</v>
      </c>
      <c r="O16" s="14">
        <f>(résultats!O20-résultats!O59)/résultats!O60</f>
        <v>-0.28816229257873538</v>
      </c>
      <c r="P16" s="14">
        <f>(résultats!P20-résultats!P59)/résultats!P60</f>
        <v>-0.80889063075650136</v>
      </c>
      <c r="Q16" s="14">
        <f>(résultats!Q20-résultats!Q59)/résultats!Q60</f>
        <v>-0.52148828633829358</v>
      </c>
      <c r="R16" s="14">
        <f>(résultats!R20-résultats!R59)/résultats!R60</f>
        <v>-0.37773332946839627</v>
      </c>
      <c r="S16" s="14">
        <f>(résultats!S20-résultats!S59)/résultats!S60</f>
        <v>-0.29421842050342117</v>
      </c>
      <c r="T16" s="14">
        <f>(résultats!T20-résultats!T59)/résultats!T60</f>
        <v>0.18763459561092319</v>
      </c>
      <c r="U16" s="14">
        <f>(résultats!U20-résultats!U59)/résultats!U60</f>
        <v>-1.1696191544995218</v>
      </c>
      <c r="V16" s="14">
        <f>(résultats!V20-résultats!V59)/résultats!V60</f>
        <v>-1.3760524182826339</v>
      </c>
      <c r="W16" s="14">
        <f>(résultats!W20-résultats!W59)/résultats!W60</f>
        <v>1.0926692662535866</v>
      </c>
      <c r="X16" s="14">
        <f>(résultats!X20-résultats!X59)/résultats!X60</f>
        <v>-0.54350225561457033</v>
      </c>
      <c r="Y16" s="14">
        <f>(résultats!Y20-résultats!Y59)/résultats!Y60</f>
        <v>-0.593379466673851</v>
      </c>
      <c r="Z16" s="14">
        <f>(résultats!Z20-résultats!Z59)/résultats!Z60</f>
        <v>-0.55892427730367744</v>
      </c>
      <c r="AA16" s="14">
        <f>(résultats!AA20-résultats!AA59)/résultats!AA60</f>
        <v>-0.59432898765229902</v>
      </c>
      <c r="AB16" s="14"/>
      <c r="AC16" s="14">
        <f t="shared" si="0"/>
        <v>-1.2691326901159001</v>
      </c>
      <c r="AD16" s="14"/>
    </row>
    <row r="17" spans="1:30">
      <c r="A17" s="88"/>
      <c r="B17" s="91"/>
      <c r="C17" s="3" t="s">
        <v>57</v>
      </c>
      <c r="D17" s="17">
        <v>47010</v>
      </c>
      <c r="E17" s="71">
        <f>(résultats!E21-résultats!E59)/résultats!E60</f>
        <v>1.6471253533567534</v>
      </c>
      <c r="F17" s="71">
        <f>(résultats!F21-résultats!F59)/résultats!F60</f>
        <v>0.47616614799715173</v>
      </c>
      <c r="G17" s="71">
        <f>(résultats!G21-résultats!G59)/résultats!G60</f>
        <v>0.29858370914523552</v>
      </c>
      <c r="H17" s="71">
        <f>(résultats!H21-résultats!H59)/résultats!H60</f>
        <v>-8.8403724906015946E-2</v>
      </c>
      <c r="I17" s="71">
        <f>(résultats!I21-résultats!I59)/résultats!I60</f>
        <v>0.52952764087493243</v>
      </c>
      <c r="J17" s="71">
        <f>(résultats!J21-résultats!J59)/résultats!J60</f>
        <v>2.2127866555030497E-2</v>
      </c>
      <c r="K17" s="71">
        <f>(résultats!K21-résultats!K59)/résultats!K60</f>
        <v>-0.71761063426311411</v>
      </c>
      <c r="L17" s="71">
        <f>(résultats!L21-résultats!L59)/résultats!L60</f>
        <v>-0.22303530000181476</v>
      </c>
      <c r="M17" s="71">
        <f>(résultats!M21-résultats!M59)/résultats!M60</f>
        <v>0.32482949607077838</v>
      </c>
      <c r="N17" s="71">
        <f>(résultats!N21-résultats!N59)/résultats!N60</f>
        <v>-0.11586259889299223</v>
      </c>
      <c r="O17" s="71">
        <f>(résultats!O21-résultats!O59)/résultats!O60</f>
        <v>-0.24505625285968891</v>
      </c>
      <c r="P17" s="71">
        <f>(résultats!P21-résultats!P59)/résultats!P60</f>
        <v>-0.3040714751159922</v>
      </c>
      <c r="Q17" s="71">
        <f>(résultats!Q21-résultats!Q59)/résultats!Q60</f>
        <v>0.57059411683858763</v>
      </c>
      <c r="R17" s="71">
        <f>(résultats!R21-résultats!R59)/résultats!R60</f>
        <v>1.3138676369313549E-2</v>
      </c>
      <c r="S17" s="71">
        <f>(résultats!S21-résultats!S59)/résultats!S60</f>
        <v>0.34397840308576144</v>
      </c>
      <c r="T17" s="71">
        <f>(résultats!T21-résultats!T59)/résultats!T60</f>
        <v>-1.0528104668375982</v>
      </c>
      <c r="U17" s="71">
        <f>(résultats!U21-résultats!U59)/résultats!U60</f>
        <v>0.701389394289478</v>
      </c>
      <c r="V17" s="71">
        <f>(résultats!V21-résultats!V59)/résultats!V60</f>
        <v>0.78869275413147111</v>
      </c>
      <c r="W17" s="71">
        <f>(résultats!W21-résultats!W59)/résultats!W60</f>
        <v>-0.62208445645645671</v>
      </c>
      <c r="X17" s="71">
        <f>(résultats!X21-résultats!X59)/résultats!X60</f>
        <v>0.32779211378506862</v>
      </c>
      <c r="Y17" s="71">
        <f>(résultats!Y21-résultats!Y59)/résultats!Y60</f>
        <v>0.2678084318616501</v>
      </c>
      <c r="Z17" s="71">
        <f>(résultats!Z21-résultats!Z59)/résultats!Z60</f>
        <v>-0.76216946905046923</v>
      </c>
      <c r="AA17" s="71">
        <f>(résultats!AA21-résultats!AA59)/résultats!AA60</f>
        <v>-0.79234916528648036</v>
      </c>
      <c r="AB17" s="71"/>
      <c r="AC17" s="71">
        <f t="shared" si="0"/>
        <v>1.2237000307950678</v>
      </c>
      <c r="AD17" s="71"/>
    </row>
    <row r="18" spans="1:30">
      <c r="A18" s="88"/>
      <c r="B18" s="89">
        <v>6</v>
      </c>
      <c r="C18" s="2" t="s">
        <v>55</v>
      </c>
      <c r="D18" s="17">
        <f>D3*6</f>
        <v>56412</v>
      </c>
      <c r="E18" s="13">
        <f>(résultats!E22-résultats!E59)/résultats!E60</f>
        <v>-0.26136848138732555</v>
      </c>
      <c r="F18" s="13">
        <f>(résultats!F22-résultats!F59)/résultats!F60</f>
        <v>-0.77869855105148988</v>
      </c>
      <c r="G18" s="13">
        <f>(résultats!G22-résultats!G59)/résultats!G60</f>
        <v>-1.2416582799341476</v>
      </c>
      <c r="H18" s="13">
        <f>(résultats!H22-résultats!H59)/résultats!H60</f>
        <v>-1.5063179201807193</v>
      </c>
      <c r="I18" s="13">
        <f>(résultats!I22-résultats!I59)/résultats!I60</f>
        <v>-1.2307423252939298</v>
      </c>
      <c r="J18" s="13">
        <f>(résultats!J22-résultats!J59)/résultats!J60</f>
        <v>-1.3476088482775588</v>
      </c>
      <c r="K18" s="13">
        <f>(résultats!K22-résultats!K59)/résultats!K60</f>
        <v>0.95083082437535238</v>
      </c>
      <c r="L18" s="13">
        <f>(résultats!L22-résultats!L59)/résultats!L60</f>
        <v>1.0314475682582347</v>
      </c>
      <c r="M18" s="13">
        <f>(résultats!M22-résultats!M59)/résultats!M60</f>
        <v>-1.2440750251927222</v>
      </c>
      <c r="N18" s="13">
        <f>(résultats!N22-résultats!N59)/résultats!N60</f>
        <v>-1.4722824850407037</v>
      </c>
      <c r="O18" s="13">
        <f>(résultats!O22-résultats!O59)/résultats!O60</f>
        <v>-1.1405354900382687</v>
      </c>
      <c r="P18" s="13">
        <f>(résultats!P22-résultats!P59)/résultats!P60</f>
        <v>-1.1588941299414937</v>
      </c>
      <c r="Q18" s="13">
        <f>(résultats!Q22-résultats!Q59)/résultats!Q60</f>
        <v>-1.2547704973169125</v>
      </c>
      <c r="R18" s="13">
        <f>(résultats!R22-résultats!R59)/résultats!R60</f>
        <v>-1.350358602921309</v>
      </c>
      <c r="S18" s="13">
        <f>(résultats!S22-résultats!S59)/résultats!S60</f>
        <v>1.6290550002449364</v>
      </c>
      <c r="T18" s="13">
        <f>(résultats!T22-résultats!T59)/résultats!T60</f>
        <v>1.4236964599589113</v>
      </c>
      <c r="U18" s="13">
        <f>(résultats!U22-résultats!U59)/résultats!U60</f>
        <v>1.6203360709070844</v>
      </c>
      <c r="V18" s="13">
        <f>(résultats!V22-résultats!V59)/résultats!V60</f>
        <v>1.0920125054284326</v>
      </c>
      <c r="W18" s="13">
        <f>(résultats!W22-résultats!W59)/résultats!W60</f>
        <v>-1.7627188618068204</v>
      </c>
      <c r="X18" s="13">
        <f>(résultats!X22-résultats!X59)/résultats!X60</f>
        <v>-3.7059957190174179E-2</v>
      </c>
      <c r="Y18" s="13">
        <f>(résultats!Y22-résultats!Y59)/résultats!Y60</f>
        <v>-0.10560637509141327</v>
      </c>
      <c r="Z18" s="13">
        <f>(résultats!Z22-résultats!Z59)/résultats!Z60</f>
        <v>-0.66978529098374573</v>
      </c>
      <c r="AA18" s="13">
        <f>(résultats!AA22-résultats!AA59)/résultats!AA60</f>
        <v>-0.66309317466364648</v>
      </c>
      <c r="AB18" s="72"/>
      <c r="AC18" s="13">
        <f t="shared" si="0"/>
        <v>-2.7071268030598037</v>
      </c>
      <c r="AD18" s="72"/>
    </row>
    <row r="19" spans="1:30">
      <c r="A19" s="88"/>
      <c r="B19" s="90"/>
      <c r="C19" s="1" t="s">
        <v>56</v>
      </c>
      <c r="D19" s="17">
        <v>56412</v>
      </c>
      <c r="E19" s="14">
        <f>(résultats!E23-résultats!E59)/résultats!E60</f>
        <v>0.19881281863720329</v>
      </c>
      <c r="F19" s="14">
        <f>(résultats!F23-résultats!F59)/résultats!F60</f>
        <v>-2.9359956740982138</v>
      </c>
      <c r="G19" s="14">
        <f>(résultats!G23-résultats!G59)/résultats!G60</f>
        <v>-0.61664116390231982</v>
      </c>
      <c r="H19" s="14">
        <f>(résultats!H23-résultats!H59)/résultats!H60</f>
        <v>-1.6183351985429075</v>
      </c>
      <c r="I19" s="14">
        <f>(résultats!I23-résultats!I59)/résultats!I60</f>
        <v>-0.57048483620829393</v>
      </c>
      <c r="J19" s="14">
        <f>(résultats!J23-résultats!J59)/résultats!J60</f>
        <v>-2.1970123849283096</v>
      </c>
      <c r="K19" s="14">
        <f>(résultats!K23-résultats!K59)/résultats!K60</f>
        <v>1.5599659388891254</v>
      </c>
      <c r="L19" s="14">
        <f>(résultats!L23-résultats!L59)/résultats!L60</f>
        <v>2.5722501688563328</v>
      </c>
      <c r="M19" s="14">
        <f>(résultats!M23-résultats!M59)/résultats!M60</f>
        <v>-0.71046099114039674</v>
      </c>
      <c r="N19" s="14">
        <f>(résultats!N23-résultats!N59)/résultats!N60</f>
        <v>-1.7296486674617788</v>
      </c>
      <c r="O19" s="14">
        <f>(résultats!O23-résultats!O59)/résultats!O60</f>
        <v>-0.29639359664568887</v>
      </c>
      <c r="P19" s="14">
        <f>(résultats!P23-résultats!P59)/résultats!P60</f>
        <v>-0.73899002724910767</v>
      </c>
      <c r="Q19" s="14">
        <f>(résultats!Q23-résultats!Q59)/résultats!Q60</f>
        <v>-0.66212290712649435</v>
      </c>
      <c r="R19" s="14">
        <f>(résultats!R23-résultats!R59)/résultats!R60</f>
        <v>-2.2609725382661217</v>
      </c>
      <c r="S19" s="14">
        <f>(résultats!S23-résultats!S59)/résultats!S60</f>
        <v>-0.25514514558979623</v>
      </c>
      <c r="T19" s="14">
        <f>(résultats!T23-résultats!T59)/résultats!T60</f>
        <v>-0.27260120494418483</v>
      </c>
      <c r="U19" s="14">
        <f>(résultats!U23-résultats!U59)/résultats!U60</f>
        <v>-2.0761476327844575</v>
      </c>
      <c r="V19" s="14">
        <f>(résultats!V23-résultats!V59)/résultats!V60</f>
        <v>-2.0146203157499216</v>
      </c>
      <c r="W19" s="14">
        <f>(résultats!W23-résultats!W59)/résultats!W60</f>
        <v>1.9595514143198636</v>
      </c>
      <c r="X19" s="14">
        <f>(résultats!X23-résultats!X59)/résultats!X60</f>
        <v>-1.2866565873239773</v>
      </c>
      <c r="Y19" s="14">
        <f>(résultats!Y23-résultats!Y59)/résultats!Y60</f>
        <v>-1.2515230639286246</v>
      </c>
      <c r="Z19" s="14">
        <f>(résultats!Z23-résultats!Z59)/résultats!Z60</f>
        <v>-0.54044744169033276</v>
      </c>
      <c r="AA19" s="14">
        <f>(résultats!AA23-résultats!AA59)/résultats!AA60</f>
        <v>-0.51677539327859878</v>
      </c>
      <c r="AB19" s="14"/>
      <c r="AC19" s="14">
        <f t="shared" si="0"/>
        <v>-2.1667199657997736</v>
      </c>
      <c r="AD19" s="14"/>
    </row>
    <row r="20" spans="1:30">
      <c r="A20" s="88"/>
      <c r="B20" s="91"/>
      <c r="C20" s="3" t="s">
        <v>57</v>
      </c>
      <c r="D20" s="17">
        <v>56412</v>
      </c>
      <c r="E20" s="71">
        <f>(résultats!E24-résultats!E59)/résultats!E60</f>
        <v>0.22301590243933481</v>
      </c>
      <c r="F20" s="71">
        <f>(résultats!F24-résultats!F59)/résultats!F60</f>
        <v>0.8104194346509449</v>
      </c>
      <c r="G20" s="71">
        <f>(résultats!G24-résultats!G59)/résultats!G60</f>
        <v>-3.6225649870861756E-2</v>
      </c>
      <c r="H20" s="71">
        <f>(résultats!H24-résultats!H59)/résultats!H60</f>
        <v>7.7265287392460261E-2</v>
      </c>
      <c r="I20" s="71">
        <f>(résultats!I24-résultats!I59)/résultats!I60</f>
        <v>-1.9478586323877306E-2</v>
      </c>
      <c r="J20" s="71">
        <f>(résultats!J24-résultats!J59)/résultats!J60</f>
        <v>0.37946193679427931</v>
      </c>
      <c r="K20" s="71">
        <f>(résultats!K24-résultats!K59)/résultats!K60</f>
        <v>-0.6225040364579888</v>
      </c>
      <c r="L20" s="71">
        <f>(résultats!L24-résultats!L59)/résultats!L60</f>
        <v>-2.0277299525864456</v>
      </c>
      <c r="M20" s="71">
        <f>(résultats!M24-résultats!M59)/résultats!M60</f>
        <v>5.4175982075692797E-2</v>
      </c>
      <c r="N20" s="71">
        <f>(résultats!N24-résultats!N59)/résultats!N60</f>
        <v>0.28649406772766095</v>
      </c>
      <c r="O20" s="71">
        <f>(résultats!O24-résultats!O59)/résultats!O60</f>
        <v>-0.29314439767189127</v>
      </c>
      <c r="P20" s="71">
        <f>(résultats!P24-résultats!P59)/résultats!P60</f>
        <v>1.1828595011641978</v>
      </c>
      <c r="Q20" s="71">
        <f>(résultats!Q24-résultats!Q59)/résultats!Q60</f>
        <v>6.6642937796482019E-2</v>
      </c>
      <c r="R20" s="71">
        <f>(résultats!R24-résultats!R59)/résultats!R60</f>
        <v>0.48482599750423705</v>
      </c>
      <c r="S20" s="71">
        <f>(résultats!S24-résultats!S59)/résultats!S60</f>
        <v>0.6609060773851535</v>
      </c>
      <c r="T20" s="71">
        <f>(résultats!T24-résultats!T59)/résultats!T60</f>
        <v>0.43309368924030628</v>
      </c>
      <c r="U20" s="71">
        <f>(résultats!U24-résultats!U59)/résultats!U60</f>
        <v>0.64757720151457354</v>
      </c>
      <c r="V20" s="71">
        <f>(résultats!V24-résultats!V59)/résultats!V60</f>
        <v>-7.65667469367034E-2</v>
      </c>
      <c r="W20" s="71">
        <f>(résultats!W24-résultats!W59)/résultats!W60</f>
        <v>-0.70192886483098516</v>
      </c>
      <c r="X20" s="71">
        <f>(résultats!X24-résultats!X59)/résultats!X60</f>
        <v>-9.0334035371401316E-3</v>
      </c>
      <c r="Y20" s="71">
        <f>(résultats!Y24-résultats!Y59)/résultats!Y60</f>
        <v>-7.7600264569932478E-2</v>
      </c>
      <c r="Z20" s="71">
        <f>(résultats!Z24-résultats!Z59)/résultats!Z60</f>
        <v>-0.94693782518391634</v>
      </c>
      <c r="AA20" s="71">
        <f>(résultats!AA24-résultats!AA59)/résultats!AA60</f>
        <v>-1.0164790530264742</v>
      </c>
      <c r="AB20" s="71"/>
      <c r="AC20" s="71">
        <f t="shared" si="0"/>
        <v>0.47717382879872994</v>
      </c>
      <c r="AD20" s="71"/>
    </row>
    <row r="21" spans="1:30">
      <c r="A21" s="88"/>
      <c r="B21" s="89">
        <v>7</v>
      </c>
      <c r="C21" s="2" t="s">
        <v>55</v>
      </c>
      <c r="D21" s="17">
        <f>D3*7</f>
        <v>65814</v>
      </c>
      <c r="E21" s="13">
        <f>(résultats!E25-résultats!E59)/résultats!E60</f>
        <v>-0.21425314491917502</v>
      </c>
      <c r="F21" s="13">
        <f>(résultats!F25-résultats!F59)/résultats!F60</f>
        <v>-1.4364006312553366</v>
      </c>
      <c r="G21" s="13">
        <f>(résultats!G25-résultats!G59)/résultats!G60</f>
        <v>-1.2364250252994371</v>
      </c>
      <c r="H21" s="13">
        <f>(résultats!H25-résultats!H59)/résultats!H60</f>
        <v>-1.6125072146648438</v>
      </c>
      <c r="I21" s="13">
        <f>(résultats!I25-résultats!I59)/résultats!I60</f>
        <v>-1.2057420417238565</v>
      </c>
      <c r="J21" s="13">
        <f>(résultats!J25-résultats!J59)/résultats!J60</f>
        <v>-1.663776207894796</v>
      </c>
      <c r="K21" s="13">
        <f>(résultats!K25-résultats!K59)/résultats!K60</f>
        <v>0.9725694753022387</v>
      </c>
      <c r="L21" s="13">
        <f>(résultats!L25-résultats!L59)/résultats!L60</f>
        <v>1.5659390158878295</v>
      </c>
      <c r="M21" s="13">
        <f>(résultats!M25-résultats!M59)/résultats!M60</f>
        <v>-1.2446578277637705</v>
      </c>
      <c r="N21" s="13">
        <f>(résultats!N25-résultats!N59)/résultats!N60</f>
        <v>-1.6596560450781295</v>
      </c>
      <c r="O21" s="13">
        <f>(résultats!O25-résultats!O59)/résultats!O60</f>
        <v>-1.1383693573890705</v>
      </c>
      <c r="P21" s="13">
        <f>(résultats!P25-résultats!P59)/résultats!P60</f>
        <v>-1.3472420568146379</v>
      </c>
      <c r="Q21" s="13">
        <f>(résultats!Q25-résultats!Q59)/résultats!Q60</f>
        <v>-1.2360777600310588</v>
      </c>
      <c r="R21" s="13">
        <f>(résultats!R25-résultats!R59)/résultats!R60</f>
        <v>-1.7128992831274199</v>
      </c>
      <c r="S21" s="13">
        <f>(résultats!S25-résultats!S59)/résultats!S60</f>
        <v>0.56105215260589181</v>
      </c>
      <c r="T21" s="13">
        <f>(résultats!T25-résultats!T59)/résultats!T60</f>
        <v>-0.12795566762686125</v>
      </c>
      <c r="U21" s="13">
        <f>(résultats!U25-résultats!U59)/résultats!U60</f>
        <v>-0.98334617950946679</v>
      </c>
      <c r="V21" s="13">
        <f>(résultats!V25-résultats!V59)/résultats!V60</f>
        <v>-1.1078539013463731</v>
      </c>
      <c r="W21" s="13">
        <f>(résultats!W25-résultats!W59)/résultats!W60</f>
        <v>0.78850009149349076</v>
      </c>
      <c r="X21" s="13">
        <f>(résultats!X25-résultats!X59)/résultats!X60</f>
        <v>-1.2013264720469281</v>
      </c>
      <c r="Y21" s="13">
        <f>(résultats!Y25-résultats!Y59)/résultats!Y60</f>
        <v>-1.1791739450814682</v>
      </c>
      <c r="Z21" s="13">
        <f>(résultats!Z25-résultats!Z59)/résultats!Z60</f>
        <v>-0.33720224994354092</v>
      </c>
      <c r="AA21" s="13">
        <f>(résultats!AA25-résultats!AA59)/résultats!AA60</f>
        <v>-0.37872999529341217</v>
      </c>
      <c r="AB21" s="72"/>
      <c r="AC21" s="13">
        <f t="shared" si="0"/>
        <v>-2.703603834066469</v>
      </c>
      <c r="AD21" s="72"/>
    </row>
    <row r="22" spans="1:30">
      <c r="A22" s="88"/>
      <c r="B22" s="90"/>
      <c r="C22" s="1" t="s">
        <v>56</v>
      </c>
      <c r="D22" s="17">
        <v>65814</v>
      </c>
      <c r="E22" s="14">
        <f>(résultats!E25-résultats!E59)/résultats!E60</f>
        <v>-0.21425314491917502</v>
      </c>
      <c r="F22" s="14">
        <f>(résultats!F25-résultats!F59)/résultats!F60</f>
        <v>-1.4364006312553366</v>
      </c>
      <c r="G22" s="14">
        <f>(résultats!G25-résultats!G59)/résultats!G60</f>
        <v>-1.2364250252994371</v>
      </c>
      <c r="H22" s="14">
        <f>(résultats!H25-résultats!H59)/résultats!H60</f>
        <v>-1.6125072146648438</v>
      </c>
      <c r="I22" s="14">
        <f>(résultats!I25-résultats!I59)/résultats!I60</f>
        <v>-1.2057420417238565</v>
      </c>
      <c r="J22" s="14">
        <f>(résultats!J25-résultats!J59)/résultats!J60</f>
        <v>-1.663776207894796</v>
      </c>
      <c r="K22" s="14">
        <f>(résultats!K25-résultats!K59)/résultats!K60</f>
        <v>0.9725694753022387</v>
      </c>
      <c r="L22" s="14">
        <f>(résultats!L25-résultats!L59)/résultats!L60</f>
        <v>1.5659390158878295</v>
      </c>
      <c r="M22" s="14">
        <f>(résultats!M25-résultats!M59)/résultats!M60</f>
        <v>-1.2446578277637705</v>
      </c>
      <c r="N22" s="14">
        <f>(résultats!N25-résultats!N59)/résultats!N60</f>
        <v>-1.6596560450781295</v>
      </c>
      <c r="O22" s="14">
        <f>(résultats!O25-résultats!O59)/résultats!O60</f>
        <v>-1.1383693573890705</v>
      </c>
      <c r="P22" s="14">
        <f>(résultats!P25-résultats!P59)/résultats!P60</f>
        <v>-1.3472420568146379</v>
      </c>
      <c r="Q22" s="14">
        <f>(résultats!Q25-résultats!Q59)/résultats!Q60</f>
        <v>-1.2360777600310588</v>
      </c>
      <c r="R22" s="14">
        <f>(résultats!R25-résultats!R59)/résultats!R60</f>
        <v>-1.7128992831274199</v>
      </c>
      <c r="S22" s="14">
        <f>(résultats!S25-résultats!S59)/résultats!S60</f>
        <v>0.56105215260589181</v>
      </c>
      <c r="T22" s="14">
        <f>(résultats!T25-résultats!T59)/résultats!T60</f>
        <v>-0.12795566762686125</v>
      </c>
      <c r="U22" s="14">
        <f>(résultats!U25-résultats!U59)/résultats!U60</f>
        <v>-0.98334617950946679</v>
      </c>
      <c r="V22" s="14">
        <f>(résultats!V25-résultats!V59)/résultats!V60</f>
        <v>-1.1078539013463731</v>
      </c>
      <c r="W22" s="14">
        <f>(résultats!W25-résultats!W59)/résultats!W60</f>
        <v>0.78850009149349076</v>
      </c>
      <c r="X22" s="14">
        <f>(résultats!X25-résultats!X59)/résultats!X60</f>
        <v>-1.2013264720469281</v>
      </c>
      <c r="Y22" s="14">
        <f>(résultats!Y25-résultats!Y59)/résultats!Y60</f>
        <v>-1.1791739450814682</v>
      </c>
      <c r="Z22" s="14">
        <f>(résultats!Z25-résultats!Z59)/résultats!Z60</f>
        <v>-0.33720224994354092</v>
      </c>
      <c r="AA22" s="14">
        <f>(résultats!AA25-résultats!AA59)/résultats!AA60</f>
        <v>-0.37872999529341217</v>
      </c>
      <c r="AB22" s="14"/>
      <c r="AC22" s="14">
        <f t="shared" si="0"/>
        <v>-2.703603834066469</v>
      </c>
      <c r="AD22" s="14"/>
    </row>
    <row r="23" spans="1:30">
      <c r="A23" s="88"/>
      <c r="B23" s="91"/>
      <c r="C23" s="3" t="s">
        <v>57</v>
      </c>
      <c r="D23" s="17">
        <v>65814</v>
      </c>
      <c r="E23" s="71">
        <f>(résultats!E27-résultats!E59)/résultats!E60</f>
        <v>-0.66539862699090713</v>
      </c>
      <c r="F23" s="71">
        <f>(résultats!F27-résultats!F59)/résultats!F60</f>
        <v>0.37206571444207204</v>
      </c>
      <c r="G23" s="71">
        <f>(résultats!G27-résultats!G59)/résultats!G60</f>
        <v>-0.98986736944140119</v>
      </c>
      <c r="H23" s="71">
        <f>(résultats!H27-résultats!H59)/résultats!H60</f>
        <v>-0.29983955177634369</v>
      </c>
      <c r="I23" s="71">
        <f>(résultats!I27-résultats!I59)/résultats!I60</f>
        <v>-1.072490530295366</v>
      </c>
      <c r="J23" s="71">
        <f>(résultats!J27-résultats!J59)/résultats!J60</f>
        <v>-0.16395619851674753</v>
      </c>
      <c r="K23" s="71">
        <f>(résultats!K27-résultats!K59)/résultats!K60</f>
        <v>1.4838806606450257</v>
      </c>
      <c r="L23" s="71">
        <f>(résultats!L27-résultats!L59)/résultats!L60</f>
        <v>-0.33328726135599768</v>
      </c>
      <c r="M23" s="71">
        <f>(résultats!M27-résultats!M59)/résultats!M60</f>
        <v>-1.00710749980426</v>
      </c>
      <c r="N23" s="71">
        <f>(résultats!N27-résultats!N59)/résultats!N60</f>
        <v>-0.2999262425316529</v>
      </c>
      <c r="O23" s="71">
        <f>(résultats!O27-résultats!O59)/résultats!O60</f>
        <v>-0.57387518900799184</v>
      </c>
      <c r="P23" s="71">
        <f>(résultats!P27-résultats!P59)/résultats!P60</f>
        <v>7.9130640054611692E-2</v>
      </c>
      <c r="Q23" s="71">
        <f>(résultats!Q27-résultats!Q59)/résultats!Q60</f>
        <v>-1.1103722381490102</v>
      </c>
      <c r="R23" s="71">
        <f>(résultats!R27-résultats!R59)/résultats!R60</f>
        <v>-8.2970540375045324E-2</v>
      </c>
      <c r="S23" s="71">
        <f>(résultats!S27-résultats!S59)/résultats!S60</f>
        <v>-0.18134007075295117</v>
      </c>
      <c r="T23" s="71">
        <f>(résultats!T27-résultats!T59)/résultats!T60</f>
        <v>0.23584977471669566</v>
      </c>
      <c r="U23" s="71">
        <f>(résultats!U27-résultats!U59)/résultats!U60</f>
        <v>-1.0909705650592765</v>
      </c>
      <c r="V23" s="71">
        <f>(résultats!V27-résultats!V59)/résultats!V60</f>
        <v>-1.0823111854476817</v>
      </c>
      <c r="W23" s="71">
        <f>(résultats!W27-résultats!W59)/résultats!W60</f>
        <v>1.0090227431945604</v>
      </c>
      <c r="X23" s="71">
        <f>(résultats!X27-résultats!X59)/résultats!X60</f>
        <v>-0.61662738113399296</v>
      </c>
      <c r="Y23" s="71">
        <f>(résultats!Y27-résultats!Y59)/résultats!Y60</f>
        <v>-0.66106090043409349</v>
      </c>
      <c r="Z23" s="71">
        <f>(résultats!Z27-résultats!Z59)/résultats!Z60</f>
        <v>-0.87303048273053752</v>
      </c>
      <c r="AA23" s="71">
        <f>(résultats!AA27-résultats!AA59)/résultats!AA60</f>
        <v>-0.83552066615450682</v>
      </c>
      <c r="AB23" s="71"/>
      <c r="AC23" s="71">
        <f t="shared" si="0"/>
        <v>-2.7747849758525449</v>
      </c>
      <c r="AD23" s="71"/>
    </row>
    <row r="24" spans="1:30">
      <c r="A24" s="88"/>
      <c r="B24" s="89">
        <v>8</v>
      </c>
      <c r="C24" s="2" t="s">
        <v>55</v>
      </c>
      <c r="D24" s="17">
        <f>D3*8</f>
        <v>75216</v>
      </c>
      <c r="E24" s="13">
        <f>(résultats!E28-résultats!E59)/résultats!E60</f>
        <v>-0.44757087277172347</v>
      </c>
      <c r="F24" s="13">
        <f>(résultats!F28-résultats!F59)/résultats!F60</f>
        <v>-1.7840309093709024</v>
      </c>
      <c r="G24" s="13">
        <f>(résultats!G28-résultats!G59)/résultats!G60</f>
        <v>-1.1982460539871214</v>
      </c>
      <c r="H24" s="13">
        <f>(résultats!H28-résultats!H59)/résultats!H60</f>
        <v>-1.6158497348302034</v>
      </c>
      <c r="I24" s="13">
        <f>(résultats!I28-résultats!I59)/résultats!I60</f>
        <v>-1.235992384843646</v>
      </c>
      <c r="J24" s="13">
        <f>(résultats!J28-résultats!J59)/résultats!J60</f>
        <v>-1.7914017883732696</v>
      </c>
      <c r="K24" s="13">
        <f>(résultats!K28-résultats!K59)/résultats!K60</f>
        <v>1.0074418944974501</v>
      </c>
      <c r="L24" s="13">
        <f>(résultats!L28-résultats!L59)/résultats!L60</f>
        <v>1.7355090477044337</v>
      </c>
      <c r="M24" s="13">
        <f>(résultats!M28-résultats!M59)/résultats!M60</f>
        <v>-1.2130699284129238</v>
      </c>
      <c r="N24" s="13">
        <f>(résultats!N28-résultats!N59)/résultats!N60</f>
        <v>-1.6025801696164927</v>
      </c>
      <c r="O24" s="13">
        <f>(résultats!O28-résultats!O59)/résultats!O60</f>
        <v>-1.0274633657501171</v>
      </c>
      <c r="P24" s="13">
        <f>(résultats!P28-résultats!P59)/résultats!P60</f>
        <v>-1.4208128590742097</v>
      </c>
      <c r="Q24" s="13">
        <f>(résultats!Q28-résultats!Q59)/résultats!Q60</f>
        <v>-1.2693232323850936</v>
      </c>
      <c r="R24" s="13">
        <f>(résultats!R28-résultats!R59)/résultats!R60</f>
        <v>-1.7866944469406985</v>
      </c>
      <c r="S24" s="13">
        <f>(résultats!S28-résultats!S59)/résultats!S60</f>
        <v>0.78246737711642689</v>
      </c>
      <c r="T24" s="13">
        <f>(résultats!T28-résultats!T59)/résultats!T60</f>
        <v>0.77059994298071965</v>
      </c>
      <c r="U24" s="13">
        <f>(résultats!U28-résultats!U59)/résultats!U60</f>
        <v>-1.4179831211529288</v>
      </c>
      <c r="V24" s="13">
        <f>(résultats!V28-résultats!V59)/résultats!V60</f>
        <v>-1.4526805659787085</v>
      </c>
      <c r="W24" s="13">
        <f>(résultats!W28-résultats!W59)/résultats!W60</f>
        <v>1.1344925277830997</v>
      </c>
      <c r="X24" s="13">
        <f>(résultats!X28-résultats!X59)/résultats!X60</f>
        <v>-1.7542477162196739</v>
      </c>
      <c r="Y24" s="13">
        <f>(résultats!Y28-résultats!Y59)/résultats!Y60</f>
        <v>-1.6342732410555143</v>
      </c>
      <c r="Z24" s="13">
        <f>(résultats!Z28-résultats!Z59)/résultats!Z60</f>
        <v>-0.28177174310350678</v>
      </c>
      <c r="AA24" s="13">
        <f>(résultats!AA28-résultats!AA59)/résultats!AA60</f>
        <v>-0.24094310928947138</v>
      </c>
      <c r="AB24" s="72"/>
      <c r="AC24" s="13">
        <f t="shared" si="0"/>
        <v>-2.7250079946344092</v>
      </c>
      <c r="AD24" s="72"/>
    </row>
    <row r="25" spans="1:30">
      <c r="A25" s="88"/>
      <c r="B25" s="90"/>
      <c r="C25" s="1" t="s">
        <v>56</v>
      </c>
      <c r="D25" s="17">
        <v>75216</v>
      </c>
      <c r="E25" s="14">
        <f>(résultats!E29-résultats!E59)/résultats!E60</f>
        <v>-2.1273890070180945E-2</v>
      </c>
      <c r="F25" s="14">
        <f>(résultats!F29-résultats!F59)/résultats!F60</f>
        <v>0.2449842955552258</v>
      </c>
      <c r="G25" s="14">
        <f>(résultats!G29-résultats!G59)/résultats!G60</f>
        <v>-8.5227943268599712E-2</v>
      </c>
      <c r="H25" s="14">
        <f>(résultats!H29-résultats!H59)/résultats!H60</f>
        <v>-6.1263054510049498E-3</v>
      </c>
      <c r="I25" s="14">
        <f>(résultats!I29-résultats!I59)/résultats!I60</f>
        <v>-0.11747969791856515</v>
      </c>
      <c r="J25" s="14">
        <f>(résultats!J29-résultats!J59)/résultats!J60</f>
        <v>0.11990977622010698</v>
      </c>
      <c r="K25" s="14">
        <f>(résultats!K29-résultats!K59)/résultats!K60</f>
        <v>0.32176861317860223</v>
      </c>
      <c r="L25" s="14">
        <f>(résultats!L29-résultats!L59)/résultats!L60</f>
        <v>-0.33412567931306414</v>
      </c>
      <c r="M25" s="14">
        <f>(résultats!M29-résultats!M59)/résultats!M60</f>
        <v>-0.11833357895476584</v>
      </c>
      <c r="N25" s="14">
        <f>(résultats!N29-résultats!N59)/résultats!N60</f>
        <v>8.4610902313672701E-3</v>
      </c>
      <c r="O25" s="14">
        <f>(résultats!O29-résultats!O59)/résultats!O60</f>
        <v>3.6157752682763936E-3</v>
      </c>
      <c r="P25" s="14">
        <f>(résultats!P29-résultats!P59)/résultats!P60</f>
        <v>-0.4804078424365536</v>
      </c>
      <c r="Q25" s="14">
        <f>(résultats!Q29-résultats!Q59)/résultats!Q60</f>
        <v>-0.13797353544665417</v>
      </c>
      <c r="R25" s="14">
        <f>(résultats!R29-résultats!R59)/résultats!R60</f>
        <v>0.11392799410296249</v>
      </c>
      <c r="S25" s="14">
        <f>(résultats!S29-résultats!S59)/résultats!S60</f>
        <v>-1.1755378435551507</v>
      </c>
      <c r="T25" s="14">
        <f>(résultats!T29-résultats!T59)/résultats!T60</f>
        <v>-0.30766678974838241</v>
      </c>
      <c r="U25" s="14">
        <f>(résultats!U29-résultats!U59)/résultats!U60</f>
        <v>-1.0454371711728188</v>
      </c>
      <c r="V25" s="14">
        <f>(résultats!V29-résultats!V59)/résultats!V60</f>
        <v>-1.0280329141629623</v>
      </c>
      <c r="W25" s="14">
        <f>(résultats!W29-résultats!W59)/résultats!W60</f>
        <v>1.1040756103070908</v>
      </c>
      <c r="X25" s="14">
        <f>(résultats!X29-résultats!X59)/résultats!X60</f>
        <v>0.29661383902280203</v>
      </c>
      <c r="Y25" s="14">
        <f>(résultats!Y29-résultats!Y59)/résultats!Y60</f>
        <v>0.23513463625325695</v>
      </c>
      <c r="Z25" s="14">
        <f>(résultats!Z29-résultats!Z59)/résultats!Z60</f>
        <v>-0.39263275678357507</v>
      </c>
      <c r="AA25" s="14">
        <f>(résultats!AA29-résultats!AA59)/résultats!AA60</f>
        <v>-0.34434790178773844</v>
      </c>
      <c r="AB25" s="14"/>
      <c r="AC25" s="14">
        <f t="shared" si="0"/>
        <v>-0.41418734863950035</v>
      </c>
      <c r="AD25" s="14"/>
    </row>
    <row r="26" spans="1:30">
      <c r="A26" s="88"/>
      <c r="B26" s="91"/>
      <c r="C26" s="3" t="s">
        <v>57</v>
      </c>
      <c r="D26" s="17">
        <v>75216</v>
      </c>
      <c r="E26" s="71">
        <f>(résultats!E30-résultats!E59)/résultats!E60</f>
        <v>0.50473979789614443</v>
      </c>
      <c r="F26" s="71">
        <f>(résultats!F30-résultats!F59)/résultats!F60</f>
        <v>1.4544509947415111E-3</v>
      </c>
      <c r="G26" s="71">
        <f>(résultats!G30-résultats!G59)/résultats!G60</f>
        <v>-0.24056045583521485</v>
      </c>
      <c r="H26" s="71">
        <f>(résultats!H30-résultats!H59)/résultats!H60</f>
        <v>-0.58909610454786943</v>
      </c>
      <c r="I26" s="71">
        <f>(résultats!I30-résultats!I59)/résultats!I60</f>
        <v>-0.1594801743162885</v>
      </c>
      <c r="J26" s="71">
        <f>(résultats!J30-résultats!J59)/résultats!J60</f>
        <v>-0.40042340196173337</v>
      </c>
      <c r="K26" s="71">
        <f>(résultats!K30-résultats!K59)/résultats!K60</f>
        <v>-0.10892840831031872</v>
      </c>
      <c r="L26" s="71">
        <f>(résultats!L30-résultats!L59)/résultats!L60</f>
        <v>0.86544081275916018</v>
      </c>
      <c r="M26" s="71">
        <f>(résultats!M30-résultats!M59)/résultats!M60</f>
        <v>-0.22393740482881788</v>
      </c>
      <c r="N26" s="71">
        <f>(résultats!N30-résultats!N59)/résultats!N60</f>
        <v>-0.58934210325296787</v>
      </c>
      <c r="O26" s="71">
        <f>(résultats!O30-résultats!O59)/résultats!O60</f>
        <v>-0.441957710671815</v>
      </c>
      <c r="P26" s="71">
        <f>(résultats!P30-résultats!P59)/résultats!P60</f>
        <v>-0.26453342492207255</v>
      </c>
      <c r="Q26" s="71">
        <f>(résultats!Q30-résultats!Q59)/résultats!Q60</f>
        <v>-0.14424626607949095</v>
      </c>
      <c r="R26" s="71">
        <f>(résultats!R30-résultats!R59)/résultats!R60</f>
        <v>-0.42595508430447876</v>
      </c>
      <c r="S26" s="71">
        <f>(résultats!S30-résultats!S59)/résultats!S60</f>
        <v>-0.10753499591610612</v>
      </c>
      <c r="T26" s="71">
        <f>(résultats!T30-résultats!T59)/résultats!T60</f>
        <v>-4.0291705616370417E-2</v>
      </c>
      <c r="U26" s="71">
        <f>(résultats!U30-résultats!U59)/résultats!U60</f>
        <v>-0.16374508955322326</v>
      </c>
      <c r="V26" s="71">
        <f>(résultats!V30-résultats!V59)/résultats!V60</f>
        <v>-0.24898007925287138</v>
      </c>
      <c r="W26" s="71">
        <f>(résultats!W30-résultats!W59)/résultats!W60</f>
        <v>0.18776597134229983</v>
      </c>
      <c r="X26" s="71">
        <f>(résultats!X30-résultats!X59)/résultats!X60</f>
        <v>3.7433742591189728E-2</v>
      </c>
      <c r="Y26" s="71">
        <f>(résultats!Y30-résultats!Y59)/résultats!Y60</f>
        <v>-3.0923413700800598E-2</v>
      </c>
      <c r="Z26" s="71">
        <f>(résultats!Z30-résultats!Z59)/résultats!Z60</f>
        <v>-0.76216946905046923</v>
      </c>
      <c r="AA26" s="71">
        <f>(résultats!AA30-résultats!AA59)/résultats!AA60</f>
        <v>-0.76649796716191354</v>
      </c>
      <c r="AB26" s="71"/>
      <c r="AC26" s="71">
        <f t="shared" si="0"/>
        <v>-0.2314923180096454</v>
      </c>
      <c r="AD26" s="71"/>
    </row>
    <row r="27" spans="1:30">
      <c r="A27" s="88"/>
      <c r="B27" s="89">
        <v>9</v>
      </c>
      <c r="C27" s="2" t="s">
        <v>55</v>
      </c>
      <c r="D27" s="17">
        <f>D3*9</f>
        <v>84618</v>
      </c>
      <c r="E27" s="13">
        <f>(résultats!E31-résultats!E59)/résultats!E60</f>
        <v>0.37017065195629267</v>
      </c>
      <c r="F27" s="13">
        <f>(résultats!F31-résultats!F59)/résultats!F60</f>
        <v>-1.1964722843960975</v>
      </c>
      <c r="G27" s="13">
        <f>(résultats!G31-résultats!G59)/résultats!G60</f>
        <v>-0.85582468822962809</v>
      </c>
      <c r="H27" s="13">
        <f>(résultats!H31-résultats!H59)/résultats!H60</f>
        <v>-1.1937494318969399</v>
      </c>
      <c r="I27" s="13">
        <f>(résultats!I31-résultats!I59)/résultats!I60</f>
        <v>-0.73461169784582525</v>
      </c>
      <c r="J27" s="13">
        <f>(résultats!J31-résultats!J59)/résultats!J60</f>
        <v>-1.271683038708179</v>
      </c>
      <c r="K27" s="13">
        <f>(résultats!K31-résultats!K59)/résultats!K60</f>
        <v>0.52647424274010701</v>
      </c>
      <c r="L27" s="13">
        <f>(résultats!L31-résultats!L59)/résultats!L60</f>
        <v>0.49066798595064437</v>
      </c>
      <c r="M27" s="13">
        <f>(résultats!M31-résultats!M59)/résultats!M60</f>
        <v>-0.8591922072720628</v>
      </c>
      <c r="N27" s="13">
        <f>(résultats!N31-résultats!N59)/résultats!N60</f>
        <v>-1.2737682307830422</v>
      </c>
      <c r="O27" s="13">
        <f>(résultats!O31-résultats!O59)/résultats!O60</f>
        <v>-0.9538148556773749</v>
      </c>
      <c r="P27" s="13">
        <f>(résultats!P31-résultats!P59)/résultats!P60</f>
        <v>-0.92133217434596004</v>
      </c>
      <c r="Q27" s="13">
        <f>(résultats!Q31-résultats!Q59)/résultats!Q60</f>
        <v>-0.75006659059886582</v>
      </c>
      <c r="R27" s="13">
        <f>(résultats!R31-résultats!R59)/résultats!R60</f>
        <v>-1.3424191458859049</v>
      </c>
      <c r="S27" s="13">
        <f>(résultats!S31-résultats!S59)/résultats!S60</f>
        <v>0.89968720185729556</v>
      </c>
      <c r="T27" s="13">
        <f>(résultats!T31-résultats!T59)/résultats!T60</f>
        <v>0.89332948979541427</v>
      </c>
      <c r="U27" s="13">
        <f>(résultats!U31-résultats!U59)/résultats!U60</f>
        <v>-0.53215164008911064</v>
      </c>
      <c r="V27" s="13">
        <f>(résultats!V31-résultats!V59)/résultats!V60</f>
        <v>-0.75344871825202864</v>
      </c>
      <c r="W27" s="13">
        <f>(résultats!W31-résultats!W59)/résultats!W60</f>
        <v>0.25240192097882108</v>
      </c>
      <c r="X27" s="13">
        <f>(résultats!X31-résultats!X59)/résultats!X60</f>
        <v>-1.1359059649821495</v>
      </c>
      <c r="Y27" s="13">
        <f>(résultats!Y31-résultats!Y59)/résultats!Y60</f>
        <v>-1.1231617240385099</v>
      </c>
      <c r="Z27" s="13">
        <f>(résultats!Z31-résultats!Z59)/résultats!Z60</f>
        <v>-0.13395705819674913</v>
      </c>
      <c r="AA27" s="13">
        <f>(résultats!AA31-résultats!AA59)/résultats!AA60</f>
        <v>-7.7305025160963825E-2</v>
      </c>
      <c r="AB27" s="72"/>
      <c r="AC27" s="13">
        <f t="shared" si="0"/>
        <v>-1.6794511030772514</v>
      </c>
      <c r="AD27" s="72"/>
    </row>
    <row r="28" spans="1:30">
      <c r="A28" s="88"/>
      <c r="B28" s="90"/>
      <c r="C28" s="1" t="s">
        <v>56</v>
      </c>
      <c r="D28" s="17">
        <v>84618</v>
      </c>
      <c r="E28" s="14">
        <f>(résultats!E32-résultats!E59)/résultats!E60</f>
        <v>-0.18165965873230486</v>
      </c>
      <c r="F28" s="14">
        <f>(résultats!F32-résultats!F59)/résultats!F60</f>
        <v>0.24721379413218791</v>
      </c>
      <c r="G28" s="14">
        <f>(résultats!G32-résultats!G59)/résultats!G60</f>
        <v>7.8668076882087795E-2</v>
      </c>
      <c r="H28" s="14">
        <f>(résultats!H32-résultats!H59)/résultats!H60</f>
        <v>0.12414627535276408</v>
      </c>
      <c r="I28" s="14">
        <f>(résultats!I32-résultats!I59)/résultats!I60</f>
        <v>-2.2836797492130026E-4</v>
      </c>
      <c r="J28" s="14">
        <f>(résultats!J32-résultats!J59)/résultats!J60</f>
        <v>0.21935942043063655</v>
      </c>
      <c r="K28" s="14">
        <f>(résultats!K32-résultats!K59)/résultats!K60</f>
        <v>0.24070156076375851</v>
      </c>
      <c r="L28" s="14">
        <f>(résultats!L32-résultats!L59)/résultats!L60</f>
        <v>-2.4959057644965171E-2</v>
      </c>
      <c r="M28" s="14">
        <f>(résultats!M32-résultats!M59)/résultats!M60</f>
        <v>4.1937128083667508E-2</v>
      </c>
      <c r="N28" s="14">
        <f>(résultats!N32-résultats!N59)/résultats!N60</f>
        <v>0.11131068759788232</v>
      </c>
      <c r="O28" s="14">
        <f>(résultats!O32-résultats!O59)/résultats!O60</f>
        <v>0.21308080244575231</v>
      </c>
      <c r="P28" s="14">
        <f>(résultats!P32-résultats!P59)/résultats!P60</f>
        <v>-0.2153193961996834</v>
      </c>
      <c r="Q28" s="14">
        <f>(résultats!Q32-résultats!Q59)/résultats!Q60</f>
        <v>-1.6784379620246738E-2</v>
      </c>
      <c r="R28" s="14">
        <f>(résultats!R32-résultats!R59)/résultats!R60</f>
        <v>0.19507760232798232</v>
      </c>
      <c r="S28" s="14">
        <f>(résultats!S32-résultats!S59)/résultats!S60</f>
        <v>0.10953875360402419</v>
      </c>
      <c r="T28" s="14">
        <f>(résultats!T32-résultats!T59)/résultats!T60</f>
        <v>0.20516738801301887</v>
      </c>
      <c r="U28" s="14">
        <f>(résultats!U32-résultats!U59)/résultats!U60</f>
        <v>0.91663816538909726</v>
      </c>
      <c r="V28" s="14">
        <f>(résultats!V32-résultats!V59)/résultats!V60</f>
        <v>0.60989374284063103</v>
      </c>
      <c r="W28" s="14">
        <f>(résultats!W32-résultats!W59)/résultats!W60</f>
        <v>-0.82739864941952457</v>
      </c>
      <c r="X28" s="14">
        <f>(résultats!X32-résultats!X59)/résultats!X60</f>
        <v>0.69765673777764781</v>
      </c>
      <c r="Y28" s="14">
        <f>(résultats!Y32-résultats!Y59)/résultats!Y60</f>
        <v>0.66689550679273801</v>
      </c>
      <c r="Z28" s="14">
        <f>(résultats!Z32-résultats!Z59)/résultats!Z60</f>
        <v>-0.30024857871685151</v>
      </c>
      <c r="AA28" s="14">
        <f>(résultats!AA32-résultats!AA59)/résultats!AA60</f>
        <v>-0.30996580828206466</v>
      </c>
      <c r="AB28" s="14"/>
      <c r="AC28" s="14">
        <f t="shared" si="0"/>
        <v>-0.12506667536456695</v>
      </c>
      <c r="AD28" s="14"/>
    </row>
    <row r="29" spans="1:30">
      <c r="A29" s="88"/>
      <c r="B29" s="91"/>
      <c r="C29" s="3" t="s">
        <v>57</v>
      </c>
      <c r="D29" s="17">
        <v>84618</v>
      </c>
      <c r="E29" s="71">
        <f>(résultats!E33-résultats!E59)/résultats!E60</f>
        <v>7.7797399626545694E-2</v>
      </c>
      <c r="F29" s="71">
        <f>(résultats!F33-résultats!F59)/résultats!F60</f>
        <v>0.26161978493717492</v>
      </c>
      <c r="G29" s="71">
        <f>(résultats!G33-résultats!G59)/résultats!G60</f>
        <v>-0.15908819618120859</v>
      </c>
      <c r="H29" s="71">
        <f>(résultats!H33-résultats!H59)/résultats!H60</f>
        <v>-0.19099338228898399</v>
      </c>
      <c r="I29" s="71">
        <f>(résultats!I33-résultats!I59)/résultats!I60</f>
        <v>-0.17723037565104005</v>
      </c>
      <c r="J29" s="71">
        <f>(résultats!J33-résultats!J59)/résultats!J60</f>
        <v>-1.3157885406693217E-2</v>
      </c>
      <c r="K29" s="71">
        <f>(résultats!K33-résultats!K59)/résultats!K60</f>
        <v>0.45220051873991535</v>
      </c>
      <c r="L29" s="71">
        <f>(résultats!L33-résultats!L59)/résultats!L60</f>
        <v>-0.41021210891680632</v>
      </c>
      <c r="M29" s="71">
        <f>(résultats!M33-résultats!M59)/résultats!M60</f>
        <v>-0.17591447297439272</v>
      </c>
      <c r="N29" s="71">
        <f>(résultats!N33-résultats!N59)/résultats!N60</f>
        <v>-0.19828759018907713</v>
      </c>
      <c r="O29" s="71">
        <f>(résultats!O33-résultats!O59)/résultats!O60</f>
        <v>-6.6783535830668553E-2</v>
      </c>
      <c r="P29" s="71">
        <f>(résultats!P33-résultats!P59)/résultats!P60</f>
        <v>0.31602528678611363</v>
      </c>
      <c r="Q29" s="71">
        <f>(résultats!Q33-résultats!Q59)/résultats!Q60</f>
        <v>-0.18150628603854027</v>
      </c>
      <c r="R29" s="71">
        <f>(résultats!R33-résultats!R59)/résultats!R60</f>
        <v>-4.1016777935334037E-2</v>
      </c>
      <c r="S29" s="71">
        <f>(résultats!S33-résultats!S59)/résultats!S60</f>
        <v>-0.23343777063778443</v>
      </c>
      <c r="T29" s="71">
        <f>(résultats!T33-résultats!T59)/résultats!T60</f>
        <v>-1.2456711832606879</v>
      </c>
      <c r="U29" s="71">
        <f>(résultats!U33-résultats!U59)/résultats!U60</f>
        <v>0.53581341652053982</v>
      </c>
      <c r="V29" s="71">
        <f>(résultats!V33-résultats!V59)/résultats!V60</f>
        <v>0.64501497720133161</v>
      </c>
      <c r="W29" s="71">
        <f>(résultats!W33-résultats!W59)/résultats!W60</f>
        <v>-0.37114488727937794</v>
      </c>
      <c r="X29" s="71">
        <f>(résultats!X33-résultats!X59)/résultats!X60</f>
        <v>0.64905792455900635</v>
      </c>
      <c r="Y29" s="71">
        <f>(résultats!Y33-résultats!Y59)/résultats!Y60</f>
        <v>0.61321712829323427</v>
      </c>
      <c r="Z29" s="71">
        <f>(résultats!Z33-résultats!Z59)/résultats!Z60</f>
        <v>-0.39263275678357507</v>
      </c>
      <c r="AA29" s="71">
        <f>(résultats!AA33-résultats!AA59)/résultats!AA60</f>
        <v>-0.507985985916246</v>
      </c>
      <c r="AB29" s="71"/>
      <c r="AC29" s="71">
        <f t="shared" si="0"/>
        <v>-0.60379103056129435</v>
      </c>
      <c r="AD29" s="71"/>
    </row>
    <row r="30" spans="1:30">
      <c r="A30" s="88"/>
      <c r="B30" s="89">
        <v>10</v>
      </c>
      <c r="C30" s="2" t="s">
        <v>55</v>
      </c>
      <c r="D30" s="17">
        <f>D3*10</f>
        <v>94020</v>
      </c>
      <c r="E30" s="13">
        <f>(résultats!E34-résultats!E59)/résultats!E60</f>
        <v>0.31466491310340533</v>
      </c>
      <c r="F30" s="13">
        <f>(résultats!F34-résultats!F59)/résultats!F60</f>
        <v>0.20622532029419094</v>
      </c>
      <c r="G30" s="13">
        <f>(résultats!G34-résultats!G59)/résultats!G60</f>
        <v>-0.78172656010634944</v>
      </c>
      <c r="H30" s="13">
        <f>(résultats!H34-résultats!H59)/résultats!H60</f>
        <v>-0.52550251576076701</v>
      </c>
      <c r="I30" s="13">
        <f>(résultats!I34-résultats!I59)/résultats!I60</f>
        <v>-0.69948629942987151</v>
      </c>
      <c r="J30" s="13">
        <f>(résultats!J34-résultats!J59)/résultats!J60</f>
        <v>-0.28069761669856991</v>
      </c>
      <c r="K30" s="13">
        <f>(résultats!K34-résultats!K59)/résultats!K60</f>
        <v>0.6406021601062567</v>
      </c>
      <c r="L30" s="13">
        <f>(résultats!L34-résultats!L59)/résultats!L60</f>
        <v>9.6821150618875876E-2</v>
      </c>
      <c r="M30" s="13">
        <f>(résultats!M34-résultats!M59)/résultats!M60</f>
        <v>-0.78902277771778162</v>
      </c>
      <c r="N30" s="13">
        <f>(résultats!N34-résultats!N59)/résultats!N60</f>
        <v>-0.53210476845480592</v>
      </c>
      <c r="O30" s="13">
        <f>(résultats!O34-résultats!O59)/résultats!O60</f>
        <v>-0.81496575286376327</v>
      </c>
      <c r="P30" s="13">
        <f>(résultats!P34-résultats!P59)/résultats!P60</f>
        <v>-0.88179412415204039</v>
      </c>
      <c r="Q30" s="13">
        <f>(résultats!Q34-résultats!Q59)/résultats!Q60</f>
        <v>-0.71631929979420328</v>
      </c>
      <c r="R30" s="13">
        <f>(résultats!R34-résultats!R59)/résultats!R60</f>
        <v>-0.31471911257687779</v>
      </c>
      <c r="S30" s="13">
        <f>(résultats!S34-résultats!S59)/résultats!S60</f>
        <v>0.6218328024715285</v>
      </c>
      <c r="T30" s="13">
        <f>(résultats!T34-résultats!T59)/résultats!T60</f>
        <v>0.51637445315028252</v>
      </c>
      <c r="U30" s="13">
        <f>(résultats!U34-résultats!U59)/résultats!U60</f>
        <v>-1.2938011378262255</v>
      </c>
      <c r="V30" s="13">
        <f>(résultats!V34-résultats!V59)/résultats!V60</f>
        <v>-1.3824380972573067</v>
      </c>
      <c r="W30" s="13">
        <f>(résultats!W34-résultats!W59)/résultats!W60</f>
        <v>1.0546481194085766</v>
      </c>
      <c r="X30" s="13">
        <f>(résultats!X34-résultats!X59)/résultats!X60</f>
        <v>-1.4800133488995857</v>
      </c>
      <c r="Y30" s="13">
        <f>(résultats!Y34-résultats!Y59)/résultats!Y60</f>
        <v>-1.4125581994271326</v>
      </c>
      <c r="Z30" s="13">
        <f>(résultats!Z34-résultats!Z59)/résultats!Z60</f>
        <v>0.27253332529683444</v>
      </c>
      <c r="AA30" s="13">
        <f>(résultats!AA34-résultats!AA59)/résultats!AA60</f>
        <v>0.18120695608470377</v>
      </c>
      <c r="AB30" s="72"/>
      <c r="AC30" s="13">
        <f t="shared" si="0"/>
        <v>-1.6753570986367889</v>
      </c>
      <c r="AD30" s="72"/>
    </row>
    <row r="31" spans="1:30">
      <c r="A31" s="88"/>
      <c r="B31" s="90"/>
      <c r="C31" s="1" t="s">
        <v>56</v>
      </c>
      <c r="D31" s="17">
        <v>94020</v>
      </c>
      <c r="E31" s="14">
        <f>(résultats!E35-résultats!E59)/résultats!E60</f>
        <v>-0.10743686840576783</v>
      </c>
      <c r="F31" s="14">
        <f>(résultats!F35-résultats!F59)/résultats!F60</f>
        <v>-5.5483512663062985E-2</v>
      </c>
      <c r="G31" s="14">
        <f>(résultats!G35-résultats!G59)/résultats!G60</f>
        <v>0.42168413066625215</v>
      </c>
      <c r="H31" s="14">
        <f>(résultats!H35-résultats!H59)/résultats!H60</f>
        <v>0.39060512648362961</v>
      </c>
      <c r="I31" s="14">
        <f>(résultats!I35-résultats!I59)/résultats!I60</f>
        <v>0.32552532694313491</v>
      </c>
      <c r="J31" s="14">
        <f>(résultats!J35-résultats!J59)/résultats!J60</f>
        <v>0.32117900320575937</v>
      </c>
      <c r="K31" s="14">
        <f>(résultats!K35-résultats!K59)/résultats!K60</f>
        <v>-0.38609620762810848</v>
      </c>
      <c r="L31" s="14">
        <f>(résultats!L35-résultats!L59)/résultats!L60</f>
        <v>-0.12452119004655636</v>
      </c>
      <c r="M31" s="14">
        <f>(résultats!M35-résultats!M59)/résultats!M60</f>
        <v>0.4094524293870711</v>
      </c>
      <c r="N31" s="14">
        <f>(résultats!N35-résultats!N59)/résultats!N60</f>
        <v>0.40516668007363832</v>
      </c>
      <c r="O31" s="14">
        <f>(résultats!O35-résultats!O59)/résultats!O60</f>
        <v>0.41214839290707717</v>
      </c>
      <c r="P31" s="14">
        <f>(résultats!P35-résultats!P59)/résultats!P60</f>
        <v>-7.6852806912960703E-2</v>
      </c>
      <c r="Q31" s="14">
        <f>(résultats!Q35-résultats!Q59)/résultats!Q60</f>
        <v>0.34239217641598668</v>
      </c>
      <c r="R31" s="14">
        <f>(résultats!R35-résultats!R59)/résultats!R60</f>
        <v>0.33255556888839172</v>
      </c>
      <c r="S31" s="14">
        <f>(résultats!S35-résultats!S59)/résultats!S60</f>
        <v>-0.6068046198124083</v>
      </c>
      <c r="T31" s="14">
        <f>(résultats!T35-résultats!T59)/résultats!T60</f>
        <v>-1.0440440706365441</v>
      </c>
      <c r="U31" s="14">
        <f>(résultats!U35-résultats!U59)/résultats!U60</f>
        <v>2.6667284881055842E-2</v>
      </c>
      <c r="V31" s="14">
        <f>(résultats!V35-résultats!V59)/résultats!V60</f>
        <v>-0.23620872130352533</v>
      </c>
      <c r="W31" s="14">
        <f>(résultats!W35-résultats!W59)/résultats!W60</f>
        <v>8.510887486076861E-2</v>
      </c>
      <c r="X31" s="14">
        <f>(résultats!X35-résultats!X59)/résultats!X60</f>
        <v>0.60864714342682702</v>
      </c>
      <c r="Y31" s="14">
        <f>(résultats!Y35-résultats!Y59)/résultats!Y60</f>
        <v>0.56887411996755699</v>
      </c>
      <c r="Z31" s="14">
        <f>(résultats!Z35-résultats!Z59)/résultats!Z60</f>
        <v>3.2334462323353241E-2</v>
      </c>
      <c r="AA31" s="14">
        <f>(résultats!AA35-résultats!AA59)/résultats!AA60</f>
        <v>8.6591570948789526E-2</v>
      </c>
      <c r="AB31" s="14"/>
      <c r="AC31" s="14">
        <f t="shared" si="0"/>
        <v>0.89764391493741769</v>
      </c>
      <c r="AD31" s="14"/>
    </row>
    <row r="32" spans="1:30">
      <c r="A32" s="88"/>
      <c r="B32" s="91"/>
      <c r="C32" s="3" t="s">
        <v>57</v>
      </c>
      <c r="D32" s="17">
        <v>94020</v>
      </c>
      <c r="E32" s="71">
        <f>(résultats!E36-résultats!E59)/100</f>
        <v>-6.0492307692307463E-2</v>
      </c>
      <c r="F32" s="71">
        <f>(résultats!F36-résultats!F59)/100</f>
        <v>0.58994807692307971</v>
      </c>
      <c r="G32" s="71">
        <f>(résultats!G36-résultats!G59)/100</f>
        <v>-0.24145769230769132</v>
      </c>
      <c r="H32" s="71">
        <f>(résultats!H36-résultats!H59)/100</f>
        <v>-9.4648076923074309E-2</v>
      </c>
      <c r="I32" s="71">
        <f>(résultats!I36-résultats!I59)/100</f>
        <v>-0.27588269230769358</v>
      </c>
      <c r="J32" s="71">
        <f>(résultats!J36-résultats!J59)/100</f>
        <v>0.21490961538462217</v>
      </c>
      <c r="K32" s="71">
        <f>(résultats!K36-résultats!K59)/100</f>
        <v>7.9948076923077163E-2</v>
      </c>
      <c r="L32" s="71">
        <f>(résultats!L36-résultats!L59)/100</f>
        <v>-5.5207692307691902E-2</v>
      </c>
      <c r="M32" s="71">
        <f>(résultats!M36-résultats!M59)/100</f>
        <v>-0.24222115384615223</v>
      </c>
      <c r="N32" s="71">
        <f>(résultats!N36-résultats!N59)/100</f>
        <v>-7.5019230769228215E-2</v>
      </c>
      <c r="O32" s="71">
        <f>(résultats!O36-résultats!O59)/100</f>
        <v>-8.6830769230769531E-2</v>
      </c>
      <c r="P32" s="71">
        <f>(résultats!P36-résultats!P59)/100</f>
        <v>0.32633269230769313</v>
      </c>
      <c r="Q32" s="71">
        <f>(résultats!Q36-résultats!Q59)/100</f>
        <v>-0.26587884615384494</v>
      </c>
      <c r="R32" s="71">
        <f>(résultats!R36-résultats!R59)/100</f>
        <v>0.32542115384615045</v>
      </c>
      <c r="S32" s="71">
        <f>(résultats!S36-résultats!S59)/100</f>
        <v>3.5230769230773264E-3</v>
      </c>
      <c r="T32" s="71">
        <f>(résultats!T36-résultats!T59)/100</f>
        <v>-2.1219230769230962E-2</v>
      </c>
      <c r="U32" s="71">
        <f>(résultats!U36-résultats!U59)/100</f>
        <v>4.4423076923077786E-4</v>
      </c>
      <c r="V32" s="71">
        <f>(résultats!V36-résultats!V59)/100</f>
        <v>2.1401923076923061E-2</v>
      </c>
      <c r="W32" s="71">
        <f>(résultats!W36-résultats!W59)/100</f>
        <v>-9.7615384615382089E-3</v>
      </c>
      <c r="X32" s="71">
        <f>(résultats!X36-résultats!X59)/100</f>
        <v>3.0478684062673622E-6</v>
      </c>
      <c r="Y32" s="71">
        <f>(résultats!Y36-résultats!Y59)/100</f>
        <v>8.6749999999999969E-3</v>
      </c>
      <c r="Z32" s="71">
        <f>(résultats!Z36-résultats!Z59)/100</f>
        <v>-0.24249999999999999</v>
      </c>
      <c r="AA32" s="71">
        <f>(résultats!AA36-résultats!AA59)/100</f>
        <v>-0.18320384615384605</v>
      </c>
      <c r="AB32" s="71"/>
      <c r="AC32" s="71">
        <f t="shared" si="0"/>
        <v>-0.46780871730769069</v>
      </c>
      <c r="AD32" s="71"/>
    </row>
    <row r="33" spans="1:30">
      <c r="A33" s="88"/>
      <c r="B33" s="89">
        <v>11</v>
      </c>
      <c r="C33" s="2" t="s">
        <v>55</v>
      </c>
      <c r="D33" s="17">
        <f>D3*11</f>
        <v>103422</v>
      </c>
      <c r="E33" s="13">
        <f>(résultats!E37-résultats!E59)/résultats!E60</f>
        <v>-4.9461173821279019</v>
      </c>
      <c r="F33" s="13">
        <f>(résultats!F37-résultats!F59)/résultats!F60</f>
        <v>-0.81042603080056752</v>
      </c>
      <c r="G33" s="13">
        <f>(résultats!G37-résultats!G59)/résultats!G60</f>
        <v>-1.1236721754425059</v>
      </c>
      <c r="H33" s="13">
        <f>(résultats!H37-résultats!H59)/résultats!H60</f>
        <v>1.0156563974059227</v>
      </c>
      <c r="I33" s="13">
        <f>(résultats!I37-résultats!I59)/résultats!I60</f>
        <v>-1.829249113961485</v>
      </c>
      <c r="J33" s="13">
        <f>(résultats!J37-résultats!J59)/résultats!J60</f>
        <v>0.10586569583733012</v>
      </c>
      <c r="K33" s="13">
        <f>(résultats!K37-résultats!K59)/résultats!K60</f>
        <v>-2.3806174301698588</v>
      </c>
      <c r="L33" s="13">
        <f>(résultats!L37-résultats!L59)/résultats!L60</f>
        <v>-0.14443361652687436</v>
      </c>
      <c r="M33" s="13">
        <f>(résultats!M37-résultats!M59)/résultats!M60</f>
        <v>-0.80324316045137256</v>
      </c>
      <c r="N33" s="13">
        <f>(résultats!N37-résultats!N59)/résultats!N60</f>
        <v>1.7371254767377911</v>
      </c>
      <c r="O33" s="13">
        <f>(résultats!O37-résultats!O59)/résultats!O60</f>
        <v>-0.9813247403221933</v>
      </c>
      <c r="P33" s="13">
        <f>(résultats!P37-résultats!P59)/résultats!P60</f>
        <v>-0.4468755720189253</v>
      </c>
      <c r="Q33" s="13">
        <f>(résultats!Q37-résultats!Q59)/résultats!Q60</f>
        <v>-1.4923815336887687</v>
      </c>
      <c r="R33" s="13">
        <f>(résultats!R37-résultats!R59)/résultats!R60</f>
        <v>0.40451212159873257</v>
      </c>
      <c r="S33" s="13">
        <f>(résultats!S37-résultats!S59)/résultats!S60</f>
        <v>1.2687125760415146</v>
      </c>
      <c r="T33" s="13">
        <f>(résultats!T37-résultats!T59)/résultats!T60</f>
        <v>0.79251593348334237</v>
      </c>
      <c r="U33" s="13">
        <f>(résultats!U37-résultats!U59)/résultats!U60</f>
        <v>0.9331957631659914</v>
      </c>
      <c r="V33" s="13">
        <f>(résultats!V37-résultats!V59)/résultats!V60</f>
        <v>0.87809225977689176</v>
      </c>
      <c r="W33" s="13">
        <f>(résultats!W37-résultats!W59)/résultats!W60</f>
        <v>-1.0669318745430991</v>
      </c>
      <c r="X33" s="13">
        <f>(résultats!X37-résultats!X59)/résultats!X60</f>
        <v>-0.2677217387883109</v>
      </c>
      <c r="Y33" s="13">
        <f>(résultats!Y37-résultats!Y59)/résultats!Y60</f>
        <v>-0.33198910180670749</v>
      </c>
      <c r="Z33" s="13">
        <f>(résultats!Z37-résultats!Z59)/résultats!Z60</f>
        <v>0.51273218827031564</v>
      </c>
      <c r="AA33" s="13">
        <f>(résultats!AA37-résultats!AA59)/résultats!AA60</f>
        <v>0.50021074094185769</v>
      </c>
      <c r="AB33" s="72"/>
      <c r="AC33" s="13">
        <f t="shared" si="0"/>
        <v>-0.38193885306914022</v>
      </c>
      <c r="AD33" s="72"/>
    </row>
    <row r="34" spans="1:30">
      <c r="A34" s="88"/>
      <c r="B34" s="90"/>
      <c r="C34" s="1" t="s">
        <v>56</v>
      </c>
      <c r="D34" s="17">
        <v>103422</v>
      </c>
      <c r="E34" s="14">
        <f>(résultats!E38-résultats!E59)/résultats!E60</f>
        <v>-0.47822811225442302</v>
      </c>
      <c r="F34" s="14">
        <f>(résultats!F38-résultats!F59)/résultats!F60</f>
        <v>0.20811181909008225</v>
      </c>
      <c r="G34" s="14">
        <f>(résultats!G38-résultats!G59)/résultats!G60</f>
        <v>0.16025927414142691</v>
      </c>
      <c r="H34" s="14">
        <f>(résultats!H38-résultats!H59)/résultats!H60</f>
        <v>0.61292557030269312</v>
      </c>
      <c r="I34" s="14">
        <f>(résultats!I38-résultats!I59)/résultats!I60</f>
        <v>1.8646846120483947E-2</v>
      </c>
      <c r="J34" s="14">
        <f>(résultats!J38-résultats!J59)/résultats!J60</f>
        <v>0.58178446980864096</v>
      </c>
      <c r="K34" s="14">
        <f>(résultats!K38-résultats!K59)/résultats!K60</f>
        <v>0.33309082720302174</v>
      </c>
      <c r="L34" s="14">
        <f>(résultats!L38-résultats!L59)/résultats!L60</f>
        <v>-0.27816128067890622</v>
      </c>
      <c r="M34" s="14">
        <f>(résultats!M38-résultats!M59)/résultats!M60</f>
        <v>0.11490400997898324</v>
      </c>
      <c r="N34" s="14">
        <f>(résultats!N38-résultats!N59)/résultats!N60</f>
        <v>0.5867277039961597</v>
      </c>
      <c r="O34" s="14">
        <f>(résultats!O38-résultats!O59)/résultats!O60</f>
        <v>0.40933242046311885</v>
      </c>
      <c r="P34" s="14">
        <f>(résultats!P38-résultats!P59)/résultats!P60</f>
        <v>0.25863672447932745</v>
      </c>
      <c r="Q34" s="14">
        <f>(résultats!Q38-résultats!Q59)/résultats!Q60</f>
        <v>-3.2352814533202277E-3</v>
      </c>
      <c r="R34" s="14">
        <f>(résultats!R38-résultats!R59)/résultats!R60</f>
        <v>0.55937332040507759</v>
      </c>
      <c r="S34" s="14">
        <f>(résultats!S38-résultats!S59)/résultats!S60</f>
        <v>-0.96714704401582385</v>
      </c>
      <c r="T34" s="14">
        <f>(résultats!T38-résultats!T59)/résultats!T60</f>
        <v>-0.81173457130872961</v>
      </c>
      <c r="U34" s="14">
        <f>(résultats!U38-résultats!U59)/résultats!U60</f>
        <v>-9.7514698445647988E-2</v>
      </c>
      <c r="V34" s="14">
        <f>(résultats!V38-résultats!V59)/résultats!V60</f>
        <v>-0.37988649823366538</v>
      </c>
      <c r="W34" s="14">
        <f>(résultats!W38-résultats!W59)/résultats!W60</f>
        <v>0.27521460908582923</v>
      </c>
      <c r="X34" s="14">
        <f>(résultats!X38-résultats!X59)/résultats!X60</f>
        <v>0.78135349430865164</v>
      </c>
      <c r="Y34" s="14">
        <f>(résultats!Y38-résultats!Y59)/résultats!Y60</f>
        <v>0.76024920853100186</v>
      </c>
      <c r="Z34" s="14">
        <f>(résultats!Z38-résultats!Z59)/résultats!Z60</f>
        <v>0.1431954760034215</v>
      </c>
      <c r="AA34" s="14">
        <f>(résultats!AA38-résultats!AA59)/résultats!AA60</f>
        <v>0.11244276907335629</v>
      </c>
      <c r="AB34" s="14"/>
      <c r="AC34" s="14">
        <f t="shared" si="0"/>
        <v>-0.11544190455874802</v>
      </c>
      <c r="AD34" s="14"/>
    </row>
    <row r="35" spans="1:30">
      <c r="A35" s="88"/>
      <c r="B35" s="91"/>
      <c r="C35" s="3" t="s">
        <v>57</v>
      </c>
      <c r="D35" s="17">
        <v>103422</v>
      </c>
      <c r="E35" s="71">
        <f>(résultats!E39-résultats!E59)/résultats!E60</f>
        <v>-0.34785416750694237</v>
      </c>
      <c r="F35" s="71">
        <f>(résultats!F39-résultats!F59)/résultats!F60</f>
        <v>0.26007628592235438</v>
      </c>
      <c r="G35" s="71">
        <f>(résultats!G39-résultats!G59)/résultats!G60</f>
        <v>-0.46785021962909151</v>
      </c>
      <c r="H35" s="71">
        <f>(résultats!H39-résultats!H59)/résultats!H60</f>
        <v>-0.32555124535603486</v>
      </c>
      <c r="I35" s="71">
        <f>(résultats!I39-résultats!I59)/résultats!I60</f>
        <v>-0.52998437682477506</v>
      </c>
      <c r="J35" s="71">
        <f>(résultats!J39-résultats!J59)/résultats!J60</f>
        <v>-0.11392416215310881</v>
      </c>
      <c r="K35" s="71">
        <f>(résultats!K39-résultats!K59)/résultats!K60</f>
        <v>1.0015543432047522</v>
      </c>
      <c r="L35" s="71">
        <f>(résultats!L39-résultats!L59)/résultats!L60</f>
        <v>0.33807591776462731</v>
      </c>
      <c r="M35" s="71">
        <f>(résultats!M39-résultats!M59)/résultats!M60</f>
        <v>-0.49459091882390216</v>
      </c>
      <c r="N35" s="71">
        <f>(résultats!N39-résultats!N59)/résultats!N60</f>
        <v>-0.29225692404670833</v>
      </c>
      <c r="O35" s="71">
        <f>(résultats!O39-résultats!O59)/résultats!O60</f>
        <v>-0.16837515707806905</v>
      </c>
      <c r="P35" s="71">
        <f>(résultats!P39-résultats!P59)/résultats!P60</f>
        <v>0.15487019612228917</v>
      </c>
      <c r="Q35" s="71">
        <f>(résultats!Q39-résultats!Q59)/résultats!Q60</f>
        <v>-0.5539810310163884</v>
      </c>
      <c r="R35" s="71">
        <f>(résultats!R39-résultats!R59)/résultats!R60</f>
        <v>-0.11389263619714378</v>
      </c>
      <c r="S35" s="71">
        <f>(résultats!S39-résultats!S59)/résultats!S60</f>
        <v>0.19636825341207137</v>
      </c>
      <c r="T35" s="71">
        <f>(résultats!T39-résultats!T59)/résultats!T60</f>
        <v>0.24899936901827052</v>
      </c>
      <c r="U35" s="71">
        <f>(résultats!U39-résultats!U59)/résultats!U60</f>
        <v>-0.75567921007717664</v>
      </c>
      <c r="V35" s="71">
        <f>(résultats!V39-résultats!V59)/résultats!V60</f>
        <v>-0.743870199790019</v>
      </c>
      <c r="W35" s="71">
        <f>(résultats!W39-résultats!W59)/résultats!W60</f>
        <v>0.60219647195293335</v>
      </c>
      <c r="X35" s="71">
        <f>(résultats!X39-résultats!X59)/résultats!X60</f>
        <v>-0.67513968565562266</v>
      </c>
      <c r="Y35" s="71">
        <f>(résultats!Y39-résultats!Y59)/résultats!Y60</f>
        <v>-0.71473927893359723</v>
      </c>
      <c r="Z35" s="71">
        <f>(résultats!Z39-résultats!Z59)/résultats!Z60</f>
        <v>-0.41110959239691974</v>
      </c>
      <c r="AA35" s="71">
        <f>(résultats!AA39-résultats!AA59)/résultats!AA60</f>
        <v>-0.37019909991230515</v>
      </c>
      <c r="AB35" s="71"/>
      <c r="AC35" s="71">
        <f t="shared" si="0"/>
        <v>-1.5533018078117737</v>
      </c>
      <c r="AD35" s="71"/>
    </row>
    <row r="36" spans="1:30">
      <c r="A36" s="88"/>
      <c r="B36" s="89">
        <v>12</v>
      </c>
      <c r="C36" s="2" t="s">
        <v>55</v>
      </c>
      <c r="D36" s="17">
        <f>D3*12</f>
        <v>112824</v>
      </c>
      <c r="E36" s="13">
        <f>(résultats!E40-résultats!E59)/résultats!E60</f>
        <v>1.3156548118099416E-3</v>
      </c>
      <c r="F36" s="13">
        <f>(résultats!F40-résultats!F59)/résultats!F60</f>
        <v>-0.26608537824072176</v>
      </c>
      <c r="G36" s="13">
        <f>(résultats!G40-résultats!G59)/résultats!G60</f>
        <v>-5.6801855593698519E-2</v>
      </c>
      <c r="H36" s="13">
        <f>(résultats!H40-résultats!H59)/résultats!H60</f>
        <v>0.38640554986561332</v>
      </c>
      <c r="I36" s="13">
        <f>(résultats!I40-résultats!I59)/résultats!I60</f>
        <v>-8.3854316516815838E-2</v>
      </c>
      <c r="J36" s="13">
        <f>(résultats!J40-résultats!J59)/résultats!J60</f>
        <v>-2.7201965789470085E-2</v>
      </c>
      <c r="K36" s="13">
        <f>(résultats!K40-résultats!K59)/résultats!K60</f>
        <v>-1.3027426550451164</v>
      </c>
      <c r="L36" s="13">
        <f>(résultats!L40-résultats!L59)/résultats!L60</f>
        <v>-1.8105797017063447</v>
      </c>
      <c r="M36" s="13">
        <f>(résultats!M40-résultats!M59)/résultats!M60</f>
        <v>3.8207191628954293E-2</v>
      </c>
      <c r="N36" s="13">
        <f>(résultats!N40-résultats!N59)/résultats!N60</f>
        <v>0.62047270532991472</v>
      </c>
      <c r="O36" s="13">
        <f>(résultats!O40-résultats!O59)/résultats!O60</f>
        <v>-0.48333084427150252</v>
      </c>
      <c r="P36" s="13">
        <f>(résultats!P40-résultats!P59)/résultats!P60</f>
        <v>-0.76718382675447649</v>
      </c>
      <c r="Q36" s="13">
        <f>(résultats!Q40-résultats!Q59)/résultats!Q60</f>
        <v>1.9346548824893003E-2</v>
      </c>
      <c r="R36" s="13">
        <f>(résultats!R40-résultats!R59)/résultats!R60</f>
        <v>0.19098251396235305</v>
      </c>
      <c r="S36" s="13">
        <f>(résultats!S40-résultats!S59)/résultats!S60</f>
        <v>1.4727619005904429</v>
      </c>
      <c r="T36" s="13">
        <f>(résultats!T40-résultats!T59)/résultats!T60</f>
        <v>1.3798644789536658</v>
      </c>
      <c r="U36" s="13">
        <f>(résultats!U40-résultats!U59)/résultats!U60</f>
        <v>1.2353719225943036</v>
      </c>
      <c r="V36" s="13">
        <f>(résultats!V40-résultats!V59)/résultats!V60</f>
        <v>0.54284411360656548</v>
      </c>
      <c r="W36" s="13">
        <f>(résultats!W40-résultats!W59)/résultats!W60</f>
        <v>-1.4167264255172114</v>
      </c>
      <c r="X36" s="13">
        <f>(résultats!X40-résultats!X59)/résultats!X60</f>
        <v>-0.19559074010059344</v>
      </c>
      <c r="Y36" s="13">
        <f>(résultats!Y40-résultats!Y59)/résultats!Y60</f>
        <v>-0.26197382550300713</v>
      </c>
      <c r="Z36" s="13">
        <f>(résultats!Z40-résultats!Z59)/résultats!Z60</f>
        <v>0.60511636633703925</v>
      </c>
      <c r="AA36" s="13">
        <f>(résultats!AA40-résultats!AA59)/résultats!AA60</f>
        <v>0.72408211670060574</v>
      </c>
      <c r="AB36" s="72"/>
      <c r="AC36" s="13">
        <f t="shared" si="0"/>
        <v>0.91688682420419843</v>
      </c>
      <c r="AD36" s="72"/>
    </row>
    <row r="37" spans="1:30">
      <c r="A37" s="88"/>
      <c r="B37" s="90"/>
      <c r="C37" s="1" t="s">
        <v>56</v>
      </c>
      <c r="D37" s="17">
        <v>112824</v>
      </c>
      <c r="E37" s="14">
        <f>(résultats!E41-résultats!E59)/résultats!E60</f>
        <v>0.304015556230468</v>
      </c>
      <c r="F37" s="14">
        <f>(résultats!F41-résultats!F59)/résultats!F60</f>
        <v>-0.49160773429497373</v>
      </c>
      <c r="G37" s="14">
        <f>(résultats!G41-résultats!G59)/résultats!G60</f>
        <v>0.45320259607984542</v>
      </c>
      <c r="H37" s="14">
        <f>(résultats!H41-résultats!H59)/résultats!H60</f>
        <v>0.31466992477827588</v>
      </c>
      <c r="I37" s="14">
        <f>(résultats!I41-résultats!I59)/résultats!I60</f>
        <v>0.44727670792939211</v>
      </c>
      <c r="J37" s="14">
        <f>(résultats!J41-résultats!J59)/résultats!J60</f>
        <v>0.11710096014355041</v>
      </c>
      <c r="K37" s="14">
        <f>(résultats!K41-résultats!K59)/résultats!K60</f>
        <v>0.96622903544856309</v>
      </c>
      <c r="L37" s="14">
        <f>(résultats!L41-résultats!L59)/résultats!L60</f>
        <v>0.86061990950603007</v>
      </c>
      <c r="M37" s="14">
        <f>(résultats!M41-résultats!M59)/résultats!M60</f>
        <v>0.34872440148378064</v>
      </c>
      <c r="N37" s="14">
        <f>(résultats!N41-résultats!N59)/résultats!N60</f>
        <v>0.19478516458137968</v>
      </c>
      <c r="O37" s="14">
        <f>(résultats!O41-résultats!O59)/résultats!O60</f>
        <v>0.78537304836394506</v>
      </c>
      <c r="P37" s="14">
        <f>(résultats!P41-résultats!P59)/résultats!P60</f>
        <v>0.29650650251316574</v>
      </c>
      <c r="Q37" s="14">
        <f>(résultats!Q41-résultats!Q59)/résultats!Q60</f>
        <v>0.37576310338267793</v>
      </c>
      <c r="R37" s="14">
        <f>(résultats!R41-résultats!R59)/résultats!R60</f>
        <v>2.9435456599879128E-2</v>
      </c>
      <c r="S37" s="14">
        <f>(résultats!S41-résultats!S59)/résultats!S60</f>
        <v>-0.73270739453408662</v>
      </c>
      <c r="T37" s="14">
        <f>(résultats!T41-résultats!T59)/résultats!T60</f>
        <v>-1.1711568155517658</v>
      </c>
      <c r="U37" s="14">
        <f>(résultats!U41-résultats!U59)/résultats!U60</f>
        <v>-1.4510983167067164</v>
      </c>
      <c r="V37" s="14">
        <f>(résultats!V41-résultats!V59)/résultats!V60</f>
        <v>-1.3696667393079611</v>
      </c>
      <c r="W37" s="14">
        <f>(résultats!W41-résultats!W59)/résultats!W60</f>
        <v>1.4766828493882111</v>
      </c>
      <c r="X37" s="14">
        <f>(résultats!X41-résultats!X59)/résultats!X60</f>
        <v>-0.3748276903461184</v>
      </c>
      <c r="Y37" s="14">
        <f>(résultats!Y41-résultats!Y59)/résultats!Y60</f>
        <v>-0.43467817371879924</v>
      </c>
      <c r="Z37" s="14">
        <f>(résultats!Z41-résultats!Z59)/résultats!Z60</f>
        <v>0.56816269511034978</v>
      </c>
      <c r="AA37" s="14">
        <f>(résultats!AA41-résultats!AA59)/résultats!AA60</f>
        <v>0.36216534295667113</v>
      </c>
      <c r="AB37" s="14"/>
      <c r="AC37" s="14">
        <f t="shared" si="0"/>
        <v>-3.3097426201466218E-2</v>
      </c>
      <c r="AD37" s="14"/>
    </row>
    <row r="38" spans="1:30">
      <c r="A38" s="88"/>
      <c r="B38" s="91"/>
      <c r="C38" s="3" t="s">
        <v>57</v>
      </c>
      <c r="D38" s="17">
        <v>112824</v>
      </c>
      <c r="E38" s="71">
        <f>(résultats!E42-résultats!E59)/résultats!E60</f>
        <v>-0.30428861666310492</v>
      </c>
      <c r="F38" s="71">
        <f>(résultats!F42-résultats!F59)/résultats!F60</f>
        <v>0.93544285485136258</v>
      </c>
      <c r="G38" s="71">
        <f>(résultats!G42-résultats!G59)/résultats!G60</f>
        <v>-0.27112742040613447</v>
      </c>
      <c r="H38" s="71">
        <f>(résultats!H42-résultats!H59)/résultats!H60</f>
        <v>0.11480436001881032</v>
      </c>
      <c r="I38" s="71">
        <f>(résultats!I42-résultats!I59)/résultats!I60</f>
        <v>-0.33435715788895154</v>
      </c>
      <c r="J38" s="71">
        <f>(résultats!J42-résultats!J59)/résultats!J60</f>
        <v>0.31740465660288986</v>
      </c>
      <c r="K38" s="71">
        <f>(résultats!K42-résultats!K59)/résultats!K60</f>
        <v>0.47212761542289367</v>
      </c>
      <c r="L38" s="71">
        <f>(résultats!L42-résultats!L59)/résultats!L60</f>
        <v>-0.96964649076911547</v>
      </c>
      <c r="M38" s="71">
        <f>(résultats!M42-résultats!M59)/résultats!M60</f>
        <v>-0.26997880794167611</v>
      </c>
      <c r="N38" s="71">
        <f>(résultats!N42-résultats!N59)/résultats!N60</f>
        <v>0.20301959074416176</v>
      </c>
      <c r="O38" s="71">
        <f>(résultats!O42-résultats!O59)/résultats!O60</f>
        <v>-0.10837328269527575</v>
      </c>
      <c r="P38" s="71">
        <f>(résultats!P42-résultats!P59)/résultats!P60</f>
        <v>0.98533607741060758</v>
      </c>
      <c r="Q38" s="71">
        <f>(résultats!Q42-résultats!Q59)/résultats!Q60</f>
        <v>-0.32527727214315949</v>
      </c>
      <c r="R38" s="71">
        <f>(résultats!R42-résultats!R59)/résultats!R60</f>
        <v>0.40058417969700638</v>
      </c>
      <c r="S38" s="71">
        <f>(résultats!S42-résultats!S59)/résultats!S60</f>
        <v>0.83022360201085532</v>
      </c>
      <c r="T38" s="71">
        <f>(résultats!T42-résultats!T59)/résultats!T60</f>
        <v>0.53829044365290524</v>
      </c>
      <c r="U38" s="71">
        <f>(résultats!U42-résultats!U59)/résultats!U60</f>
        <v>0.18810386320576994</v>
      </c>
      <c r="V38" s="71">
        <f>(résultats!V42-résultats!V59)/résultats!V60</f>
        <v>1.3793680592887128</v>
      </c>
      <c r="W38" s="71">
        <f>(résultats!W42-résultats!W59)/résultats!W60</f>
        <v>-0.27609202016684764</v>
      </c>
      <c r="X38" s="71">
        <f>(résultats!X42-résultats!X59)/résultats!X60</f>
        <v>-0.42156854779146508</v>
      </c>
      <c r="Y38" s="71">
        <f>(résultats!Y42-résultats!Y59)/résultats!Y60</f>
        <v>-0.47902118204447497</v>
      </c>
      <c r="Z38" s="71">
        <f>(résultats!Z42-résultats!Z59)/résultats!Z60</f>
        <v>-0.37415592117023033</v>
      </c>
      <c r="AA38" s="71">
        <f>(résultats!AA42-résultats!AA59)/résultats!AA60</f>
        <v>-0.39605029803687192</v>
      </c>
      <c r="AB38" s="71"/>
      <c r="AC38" s="71">
        <f t="shared" si="0"/>
        <v>-0.82486064057186703</v>
      </c>
      <c r="AD38" s="71"/>
    </row>
    <row r="39" spans="1:30">
      <c r="A39" s="88"/>
      <c r="B39" s="89">
        <v>13</v>
      </c>
      <c r="C39" s="2" t="s">
        <v>55</v>
      </c>
      <c r="D39" s="17">
        <f>D3*13</f>
        <v>122226</v>
      </c>
      <c r="E39" s="13">
        <f>(résultats!E43-résultats!E59)/résultats!E60</f>
        <v>0.39921435251885162</v>
      </c>
      <c r="F39" s="13">
        <f>(résultats!F43-résultats!F59)/résultats!F60</f>
        <v>0.10366838575392985</v>
      </c>
      <c r="G39" s="13">
        <f>(résultats!G43-résultats!G59)/résultats!G60</f>
        <v>-0.11710322149819562</v>
      </c>
      <c r="H39" s="13">
        <f>(résultats!H43-résultats!H59)/résultats!H60</f>
        <v>-0.42848372532006512</v>
      </c>
      <c r="I39" s="13">
        <f>(résultats!I43-résultats!I59)/résultats!I60</f>
        <v>-7.0729167642527915E-2</v>
      </c>
      <c r="J39" s="13">
        <f>(résultats!J43-résultats!J59)/résultats!J60</f>
        <v>-0.33081742856460089</v>
      </c>
      <c r="K39" s="13">
        <f>(résultats!K43-résultats!K59)/résultats!K60</f>
        <v>-0.1012293027737127</v>
      </c>
      <c r="L39" s="13">
        <f>(résultats!L43-résultats!L59)/résultats!L60</f>
        <v>-0.38338273429069269</v>
      </c>
      <c r="M39" s="13">
        <f>(résultats!M43-résultats!M59)/résultats!M60</f>
        <v>-0.10819281421851583</v>
      </c>
      <c r="N39" s="13">
        <f>(résultats!N43-résultats!N59)/résultats!N60</f>
        <v>-0.4564610692927763</v>
      </c>
      <c r="O39" s="13">
        <f>(résultats!O43-résultats!O59)/résultats!O60</f>
        <v>-0.26585112629199281</v>
      </c>
      <c r="P39" s="13">
        <f>(résultats!P43-résultats!P59)/résultats!P60</f>
        <v>-0.51727665717434324</v>
      </c>
      <c r="Q39" s="13">
        <f>(résultats!Q43-résultats!Q59)/résultats!Q60</f>
        <v>-5.0280761199596007E-2</v>
      </c>
      <c r="R39" s="13">
        <f>(résultats!R43-résultats!R59)/résultats!R60</f>
        <v>-0.30226670101608688</v>
      </c>
      <c r="S39" s="13">
        <f>(résultats!S43-résultats!S59)/résultats!S60</f>
        <v>0.40910052794180302</v>
      </c>
      <c r="T39" s="13">
        <f>(résultats!T43-résultats!T59)/résultats!T60</f>
        <v>-0.12795566762686125</v>
      </c>
      <c r="U39" s="13">
        <f>(résultats!U43-résultats!U59)/résultats!U60</f>
        <v>-0.3914120589855134</v>
      </c>
      <c r="V39" s="13">
        <f>(résultats!V43-résultats!V59)/résultats!V60</f>
        <v>1.9061865746992246</v>
      </c>
      <c r="W39" s="13">
        <f>(résultats!W43-résultats!W59)/résultats!W60</f>
        <v>0.33604844403784734</v>
      </c>
      <c r="X39" s="13">
        <f>(résultats!X43-résultats!X59)/résultats!X60</f>
        <v>-0.45868098674688496</v>
      </c>
      <c r="Y39" s="13">
        <f>(résultats!Y43-résultats!Y59)/résultats!Y60</f>
        <v>-0.51402882019632601</v>
      </c>
      <c r="Z39" s="13">
        <f>(résultats!Z43-résultats!Z59)/résultats!Z60</f>
        <v>0.78988472247048624</v>
      </c>
      <c r="AA39" s="13">
        <f>(résultats!AA43-résultats!AA59)/résultats!AA60</f>
        <v>1.3101287781845343</v>
      </c>
      <c r="AB39" s="72"/>
      <c r="AC39" s="13">
        <f t="shared" si="0"/>
        <v>-6.1535451681828307E-2</v>
      </c>
      <c r="AD39" s="72"/>
    </row>
    <row r="40" spans="1:30">
      <c r="A40" s="88"/>
      <c r="B40" s="90"/>
      <c r="C40" s="1" t="s">
        <v>56</v>
      </c>
      <c r="D40" s="17">
        <v>122226</v>
      </c>
      <c r="E40" s="14">
        <f>(résultats!E44-résultats!E59)/résultats!E60</f>
        <v>-0.23135665747268225</v>
      </c>
      <c r="F40" s="14">
        <f>(résultats!F44-résultats!F59)/résultats!F60</f>
        <v>0.18375883463403442</v>
      </c>
      <c r="G40" s="14">
        <f>(résultats!G44-résultats!G59)/résultats!G60</f>
        <v>1.546239189102204</v>
      </c>
      <c r="H40" s="14">
        <f>(résultats!H44-résultats!H59)/résultats!H60</f>
        <v>1.8708273258664512</v>
      </c>
      <c r="I40" s="14">
        <f>(résultats!I44-résultats!I59)/résultats!I60</f>
        <v>1.4282878352190698</v>
      </c>
      <c r="J40" s="14">
        <f>(résultats!J44-résultats!J59)/résultats!J60</f>
        <v>1.5772464424402597</v>
      </c>
      <c r="K40" s="14">
        <f>(résultats!K44-résultats!K59)/résultats!K60</f>
        <v>-2.0001910389493616</v>
      </c>
      <c r="L40" s="14">
        <f>(résultats!L44-résultats!L59)/résultats!L60</f>
        <v>-2.085161582645469</v>
      </c>
      <c r="M40" s="14">
        <f>(résultats!M44-résultats!M59)/résultats!M60</f>
        <v>1.611890693975055</v>
      </c>
      <c r="N40" s="14">
        <f>(résultats!N44-résultats!N59)/résultats!N60</f>
        <v>1.9927156064570903</v>
      </c>
      <c r="O40" s="14">
        <f>(résultats!O44-résultats!O59)/résultats!O60</f>
        <v>1.3026455249925004</v>
      </c>
      <c r="P40" s="14">
        <f>(résultats!P44-résultats!P59)/résultats!P60</f>
        <v>0.96798604694576584</v>
      </c>
      <c r="Q40" s="14">
        <f>(résultats!Q44-résultats!Q59)/résultats!Q60</f>
        <v>1.535716452006854</v>
      </c>
      <c r="R40" s="14">
        <f>(résultats!R44-résultats!R59)/résultats!R60</f>
        <v>1.7085888329717547</v>
      </c>
      <c r="S40" s="14">
        <f>(résultats!S44-résultats!S59)/résultats!S60</f>
        <v>-0.47656037010033137</v>
      </c>
      <c r="T40" s="14">
        <f>(résultats!T44-résultats!T59)/résultats!T60</f>
        <v>-6.2207696118993128E-2</v>
      </c>
      <c r="U40" s="14">
        <f>(résultats!U44-résultats!U59)/résultats!U60</f>
        <v>0.75520158706438312</v>
      </c>
      <c r="V40" s="14">
        <f>(résultats!V44-résultats!V59)/résultats!V60</f>
        <v>0.34808090487904292</v>
      </c>
      <c r="W40" s="14">
        <f>(résultats!W44-résultats!W59)/résultats!W60</f>
        <v>-0.56885485087343945</v>
      </c>
      <c r="X40" s="14">
        <f>(résultats!X44-résultats!X59)/résultats!X60</f>
        <v>1.022337878414755</v>
      </c>
      <c r="Y40" s="14">
        <f>(résultats!Y44-résultats!Y59)/résultats!Y60</f>
        <v>1.0356426286588873</v>
      </c>
      <c r="Z40" s="14">
        <f>(résultats!Z44-résultats!Z59)/résultats!Z60</f>
        <v>0.71597738001710742</v>
      </c>
      <c r="AA40" s="14">
        <f>(résultats!AA44-résultats!AA59)/résultats!AA60</f>
        <v>0.61214642882123171</v>
      </c>
      <c r="AB40" s="14"/>
      <c r="AC40" s="14">
        <f t="shared" si="0"/>
        <v>3.9428128041432027</v>
      </c>
      <c r="AD40" s="14"/>
    </row>
    <row r="41" spans="1:30">
      <c r="A41" s="88"/>
      <c r="B41" s="91"/>
      <c r="C41" s="3" t="s">
        <v>57</v>
      </c>
      <c r="D41" s="17">
        <v>122226</v>
      </c>
      <c r="E41" s="71">
        <f>(résultats!E45-résultats!E59)/résultats!E60</f>
        <v>-0.45402502845229148</v>
      </c>
      <c r="F41" s="71">
        <f>(résultats!F45-résultats!F59)/résultats!F60</f>
        <v>1.0783022636674791</v>
      </c>
      <c r="G41" s="71">
        <f>(résultats!G45-résultats!G59)/résultats!G60</f>
        <v>-0.57501300203530947</v>
      </c>
      <c r="H41" s="71">
        <f>(résultats!H45-résultats!H59)/résultats!H60</f>
        <v>0.40071839262497538</v>
      </c>
      <c r="I41" s="71">
        <f>(résultats!I45-résultats!I59)/résultats!I60</f>
        <v>-0.6587358372106521</v>
      </c>
      <c r="J41" s="71">
        <f>(résultats!J45-résultats!J59)/résultats!J60</f>
        <v>0.49479894693782339</v>
      </c>
      <c r="K41" s="71">
        <f>(résultats!K45-résultats!K59)/résultats!K60</f>
        <v>1.0971138295708538</v>
      </c>
      <c r="L41" s="71">
        <f>(résultats!L45-résultats!L59)/résultats!L60</f>
        <v>-0.1209579137290254</v>
      </c>
      <c r="M41" s="71">
        <f>(résultats!M45-résultats!M59)/résultats!M60</f>
        <v>-0.60415780218108672</v>
      </c>
      <c r="N41" s="71">
        <f>(résultats!N45-résultats!N59)/résultats!N60</f>
        <v>0.24992352800471668</v>
      </c>
      <c r="O41" s="71">
        <f>(résultats!O45-résultats!O59)/résultats!O60</f>
        <v>-0.24353996000525024</v>
      </c>
      <c r="P41" s="71">
        <f>(résultats!P45-résultats!P59)/résultats!P60</f>
        <v>0.52806267833240761</v>
      </c>
      <c r="Q41" s="71">
        <f>(résultats!Q45-résultats!Q59)/résultats!Q60</f>
        <v>-0.68432837356673637</v>
      </c>
      <c r="R41" s="71">
        <f>(résultats!R45-résultats!R59)/résultats!R60</f>
        <v>0.55034741135430365</v>
      </c>
      <c r="S41" s="71">
        <f>(résultats!S45-résultats!S59)/résultats!S60</f>
        <v>-0.55904839491797986</v>
      </c>
      <c r="T41" s="71">
        <f>(résultats!T45-résultats!T59)/résultats!T60</f>
        <v>0.8275815182875399</v>
      </c>
      <c r="U41" s="71">
        <f>(résultats!U45-résultats!U59)/résultats!U60</f>
        <v>-1.6663470878063364</v>
      </c>
      <c r="V41" s="71">
        <f>(résultats!V45-résultats!V59)/résultats!V60</f>
        <v>-1.0535756300616537</v>
      </c>
      <c r="W41" s="71">
        <f>(résultats!W45-résultats!W59)/résultats!W60</f>
        <v>1.6059547486612535</v>
      </c>
      <c r="X41" s="71">
        <f>(résultats!X45-résultats!X59)/résultats!X60</f>
        <v>-0.70328709621825636</v>
      </c>
      <c r="Y41" s="71">
        <f>(résultats!Y45-résultats!Y59)/résultats!Y60</f>
        <v>-0.74041154691162014</v>
      </c>
      <c r="Z41" s="71">
        <f>(résultats!Z45-résultats!Z59)/résultats!Z60</f>
        <v>-0.20786440065012796</v>
      </c>
      <c r="AA41" s="71">
        <f>(résultats!AA45-résultats!AA59)/résultats!AA60</f>
        <v>-0.16338951491577108</v>
      </c>
      <c r="AB41" s="71"/>
      <c r="AC41" s="71">
        <f t="shared" si="0"/>
        <v>-1.8145745725824285</v>
      </c>
      <c r="AD41" s="71"/>
    </row>
    <row r="42" spans="1:30">
      <c r="A42" s="88"/>
      <c r="B42" s="89">
        <v>14</v>
      </c>
      <c r="C42" s="2" t="s">
        <v>55</v>
      </c>
      <c r="D42" s="17">
        <f>D3*14</f>
        <v>131628</v>
      </c>
      <c r="E42" s="13">
        <f>(résultats!E46-résultats!E59)/résultats!E60</f>
        <v>-0.37108912795698767</v>
      </c>
      <c r="F42" s="13">
        <f>(résultats!F46-résultats!F59)/résultats!F60</f>
        <v>-0.27380287331482245</v>
      </c>
      <c r="G42" s="13">
        <f>(résultats!G46-résultats!G59)/résultats!G60</f>
        <v>-0.13149467174364821</v>
      </c>
      <c r="H42" s="13">
        <f>(résultats!H46-résultats!H59)/résultats!H60</f>
        <v>-0.19219326132270376</v>
      </c>
      <c r="I42" s="13">
        <f>(résultats!I46-résultats!I59)/résultats!I60</f>
        <v>-0.2173558307810082</v>
      </c>
      <c r="J42" s="13">
        <f>(résultats!J46-résultats!J59)/résultats!J60</f>
        <v>-0.19985637899521713</v>
      </c>
      <c r="K42" s="13">
        <f>(résultats!K46-résultats!K59)/résultats!K60</f>
        <v>5.9546136373045566E-2</v>
      </c>
      <c r="L42" s="13">
        <f>(résultats!L46-résultats!L59)/résultats!L60</f>
        <v>0.32319399902670448</v>
      </c>
      <c r="M42" s="13">
        <f>(résultats!M46-résultats!M59)/résultats!M60</f>
        <v>-0.13826542688463689</v>
      </c>
      <c r="N42" s="13">
        <f>(résultats!N46-résultats!N59)/résultats!N60</f>
        <v>-0.15743837804821501</v>
      </c>
      <c r="O42" s="13">
        <f>(résultats!O46-résultats!O59)/résultats!O60</f>
        <v>-5.5519646054837134E-2</v>
      </c>
      <c r="P42" s="13">
        <f>(résultats!P46-résultats!P59)/résultats!P60</f>
        <v>-0.31708399796462394</v>
      </c>
      <c r="Q42" s="13">
        <f>(résultats!Q46-résultats!Q59)/résultats!Q60</f>
        <v>-0.21036084694959029</v>
      </c>
      <c r="R42" s="13">
        <f>(résultats!R46-résultats!R59)/résultats!R60</f>
        <v>-0.18150338084600076</v>
      </c>
      <c r="S42" s="13">
        <f>(résultats!S46-résultats!S59)/résultats!S60</f>
        <v>0.37002725302817807</v>
      </c>
      <c r="T42" s="13">
        <f>(résultats!T46-résultats!T59)/résultats!T60</f>
        <v>1.2308357435358215</v>
      </c>
      <c r="U42" s="13">
        <f>(résultats!U46-résultats!U59)/résultats!U60</f>
        <v>1.1898385287078459</v>
      </c>
      <c r="V42" s="13">
        <f>(résultats!V46-résultats!V59)/résultats!V60</f>
        <v>0.51410855822053758</v>
      </c>
      <c r="W42" s="13">
        <f>(résultats!W46-résultats!W59)/résultats!W60</f>
        <v>-1.1353699388641236</v>
      </c>
      <c r="X42" s="13">
        <f>(résultats!X46-résultats!X59)/résultats!X60</f>
        <v>-4.3730078872956856E-3</v>
      </c>
      <c r="Y42" s="13">
        <f>(résultats!Y46-résultats!Y59)/résultats!Y60</f>
        <v>-7.2932579483020121E-2</v>
      </c>
      <c r="Z42" s="13">
        <f>(résultats!Z46-résultats!Z59)/résultats!Z60</f>
        <v>1.7137265031377218</v>
      </c>
      <c r="AA42" s="13">
        <f>(résultats!AA46-résultats!AA59)/résultats!AA60</f>
        <v>1.9132372304306773</v>
      </c>
      <c r="AB42" s="72"/>
      <c r="AC42" s="13">
        <f t="shared" si="0"/>
        <v>-0.3193778055755972</v>
      </c>
      <c r="AD42" s="72"/>
    </row>
    <row r="43" spans="1:30">
      <c r="A43" s="88"/>
      <c r="B43" s="90"/>
      <c r="C43" s="1" t="s">
        <v>56</v>
      </c>
      <c r="D43" s="17">
        <v>131628</v>
      </c>
      <c r="E43" s="14">
        <f>(résultats!E47-résultats!E59)/résultats!E60</f>
        <v>-0.38980617943063556</v>
      </c>
      <c r="F43" s="14">
        <f>(résultats!F47-résultats!F59)/résultats!F60</f>
        <v>0.83631591812181327</v>
      </c>
      <c r="G43" s="14">
        <f>(résultats!G47-résultats!G59)/résultats!G60</f>
        <v>1.2304598469395962</v>
      </c>
      <c r="H43" s="14">
        <f>(résultats!H47-résultats!H59)/résultats!H60</f>
        <v>1.6517636965674827</v>
      </c>
      <c r="I43" s="14">
        <f>(résultats!I47-résultats!I59)/résultats!I60</f>
        <v>1.090158999933827</v>
      </c>
      <c r="J43" s="14">
        <f>(résultats!J47-résultats!J59)/résultats!J60</f>
        <v>1.362459788086184</v>
      </c>
      <c r="K43" s="14">
        <f>(résultats!K47-résultats!K59)/résultats!K60</f>
        <v>-0.65330045860441033</v>
      </c>
      <c r="L43" s="14">
        <f>(résultats!L47-résultats!L59)/résultats!L60</f>
        <v>-9.1403680742447271E-2</v>
      </c>
      <c r="M43" s="14">
        <f>(résultats!M47-résultats!M59)/résultats!M60</f>
        <v>1.2063766650392667</v>
      </c>
      <c r="N43" s="14">
        <f>(résultats!N47-résultats!N59)/résultats!N60</f>
        <v>1.49307968958004</v>
      </c>
      <c r="O43" s="14">
        <f>(résultats!O47-résultats!O59)/résultats!O60</f>
        <v>1.3706620901773277</v>
      </c>
      <c r="P43" s="14">
        <f>(résultats!P47-résultats!P59)/résultats!P60</f>
        <v>0.65318309033848221</v>
      </c>
      <c r="Q43" s="14">
        <f>(résultats!Q47-résultats!Q59)/résultats!Q60</f>
        <v>1.1150671357688191</v>
      </c>
      <c r="R43" s="14">
        <f>(résultats!R47-résultats!R59)/résultats!R60</f>
        <v>1.3320078497977716</v>
      </c>
      <c r="S43" s="14">
        <f>(résultats!S47-résultats!S59)/résultats!S60</f>
        <v>-1.7963687671827202</v>
      </c>
      <c r="T43" s="14">
        <f>(résultats!T47-résultats!T59)/résultats!T60</f>
        <v>-1.5174294654932208</v>
      </c>
      <c r="U43" s="14">
        <f>(résultats!U47-résultats!U59)/résultats!U60</f>
        <v>-0.73912161230028317</v>
      </c>
      <c r="V43" s="14">
        <f>(résultats!V47-résultats!V59)/résultats!V60</f>
        <v>-0.92586205056819604</v>
      </c>
      <c r="W43" s="14">
        <f>(résultats!W47-résultats!W59)/résultats!W60</f>
        <v>0.94438679355803923</v>
      </c>
      <c r="X43" s="14">
        <f>(résultats!X47-résultats!X59)/résultats!X60</f>
        <v>1.046362092033519</v>
      </c>
      <c r="Y43" s="14">
        <f>(résultats!Y47-résultats!Y59)/résultats!Y60</f>
        <v>1.0636487391803648</v>
      </c>
      <c r="Z43" s="14">
        <f>(résultats!Z47-résultats!Z59)/résultats!Z60</f>
        <v>0.97465307860393335</v>
      </c>
      <c r="AA43" s="14">
        <f>(résultats!AA47-résultats!AA59)/résultats!AA60</f>
        <v>0.68116912781382499</v>
      </c>
      <c r="AB43" s="14"/>
      <c r="AC43" s="14">
        <f t="shared" si="0"/>
        <v>2.3689047755868664</v>
      </c>
      <c r="AD43" s="14"/>
    </row>
    <row r="44" spans="1:30">
      <c r="A44" s="88"/>
      <c r="B44" s="91"/>
      <c r="C44" s="3" t="s">
        <v>57</v>
      </c>
      <c r="D44" s="17">
        <v>131628</v>
      </c>
      <c r="E44" s="71">
        <f>(résultats!E48-résultats!E59)/résultats!E60</f>
        <v>2.6488103149809685</v>
      </c>
      <c r="F44" s="71">
        <f>(résultats!F48-résultats!F59)/résultats!F60</f>
        <v>0.9730013308786496</v>
      </c>
      <c r="G44" s="71">
        <f>(résultats!G48-résultats!G59)/résultats!G60</f>
        <v>1.1414945181495282</v>
      </c>
      <c r="H44" s="71">
        <f>(résultats!H48-résultats!H59)/résultats!H60</f>
        <v>-1.641098288288181E-2</v>
      </c>
      <c r="I44" s="71">
        <f>(résultats!I48-résultats!I59)/résultats!I60</f>
        <v>1.4989136363045266</v>
      </c>
      <c r="J44" s="71">
        <f>(résultats!J48-résultats!J59)/résultats!J60</f>
        <v>0.33592528760767437</v>
      </c>
      <c r="K44" s="71">
        <f>(résultats!K48-résultats!K59)/résultats!K60</f>
        <v>-1.8131480632659507</v>
      </c>
      <c r="L44" s="71">
        <f>(résultats!L48-résultats!L59)/résultats!L60</f>
        <v>0.11337990527093042</v>
      </c>
      <c r="M44" s="71">
        <f>(résultats!M48-résultats!M59)/résultats!M60</f>
        <v>1.1929722059051433</v>
      </c>
      <c r="N44" s="71">
        <f>(résultats!N48-résultats!N59)/résultats!N60</f>
        <v>2.2427322840792133E-2</v>
      </c>
      <c r="O44" s="71">
        <f>(résultats!O48-résultats!O59)/résultats!O60</f>
        <v>0.196834807576765</v>
      </c>
      <c r="P44" s="71">
        <f>(résultats!P48-résultats!P59)/résultats!P60</f>
        <v>1.3873896679901276</v>
      </c>
      <c r="Q44" s="71">
        <f>(résultats!Q48-résultats!Q59)/résultats!Q60</f>
        <v>1.5850201147809504</v>
      </c>
      <c r="R44" s="71">
        <f>(résultats!R48-résultats!R59)/résultats!R60</f>
        <v>0.36088689451998862</v>
      </c>
      <c r="S44" s="71">
        <f>(résultats!S48-résultats!S59)/résultats!S60</f>
        <v>0.10085580362321453</v>
      </c>
      <c r="T44" s="71">
        <f>(résultats!T48-résultats!T59)/résultats!T60</f>
        <v>0.49445846264765358</v>
      </c>
      <c r="U44" s="71">
        <f>(résultats!U48-résultats!U59)/résultats!U60</f>
        <v>0.34126164264203807</v>
      </c>
      <c r="V44" s="71">
        <f>(résultats!V48-résultats!V59)/résultats!V60</f>
        <v>-0.20428032643016106</v>
      </c>
      <c r="W44" s="71">
        <f>(résultats!W48-résultats!W59)/résultats!W60</f>
        <v>-0.33692585511886575</v>
      </c>
      <c r="X44" s="71">
        <f>(résultats!X48-résultats!X59)/résultats!X60</f>
        <v>0.23383607006909221</v>
      </c>
      <c r="Y44" s="71">
        <f>(résultats!Y48-résultats!Y59)/résultats!Y60</f>
        <v>0.16978704503647066</v>
      </c>
      <c r="Z44" s="71">
        <f>(résultats!Z48-résultats!Z59)/résultats!Z60</f>
        <v>-4.1572880130025594E-2</v>
      </c>
      <c r="AA44" s="71">
        <f>(résultats!AA48-résultats!AA59)/résultats!AA60</f>
        <v>2.6099767337303219E-2</v>
      </c>
      <c r="AB44" s="71"/>
      <c r="AC44" s="71">
        <f t="shared" si="0"/>
        <v>3.5200409708840228</v>
      </c>
      <c r="AD44" s="71"/>
    </row>
    <row r="45" spans="1:30">
      <c r="A45" s="88"/>
      <c r="B45" s="89">
        <v>15</v>
      </c>
      <c r="C45" s="2" t="s">
        <v>55</v>
      </c>
      <c r="D45" s="17">
        <f>D3*15</f>
        <v>141030</v>
      </c>
      <c r="E45" s="13">
        <f>(résultats!E49-résultats!E59)/résultats!E60</f>
        <v>0.49731751886349201</v>
      </c>
      <c r="F45" s="13">
        <f>(résultats!F49-résultats!F59)/résultats!F60</f>
        <v>0.2046818212793704</v>
      </c>
      <c r="G45" s="13">
        <f>(résultats!G49-résultats!G59)/résultats!G60</f>
        <v>0.51552590127502673</v>
      </c>
      <c r="H45" s="13">
        <f>(résultats!H49-résultats!H59)/résultats!H60</f>
        <v>0.11934675921788886</v>
      </c>
      <c r="I45" s="13">
        <f>(résultats!I49-résultats!I59)/résultats!I60</f>
        <v>0.59952843487113805</v>
      </c>
      <c r="J45" s="13">
        <f>(résultats!J49-résultats!J59)/résultats!J60</f>
        <v>6.4160516268005341E-3</v>
      </c>
      <c r="K45" s="13">
        <f>(résultats!K49-résultats!K59)/résultats!K60</f>
        <v>-0.54823031245779708</v>
      </c>
      <c r="L45" s="13">
        <f>(résultats!L49-résultats!L59)/résultats!L60</f>
        <v>0.24438271106249776</v>
      </c>
      <c r="M45" s="13">
        <f>(résultats!M49-résultats!M59)/résultats!M60</f>
        <v>0.53510466370520249</v>
      </c>
      <c r="N45" s="13">
        <f>(résultats!N49-résultats!N59)/résultats!N60</f>
        <v>4.6323304646513332E-2</v>
      </c>
      <c r="O45" s="13">
        <f>(résultats!O49-résultats!O59)/résultats!O60</f>
        <v>0.33525068386053708</v>
      </c>
      <c r="P45" s="13">
        <f>(résultats!P49-résultats!P59)/résultats!P60</f>
        <v>-0.1027110253942163</v>
      </c>
      <c r="Q45" s="13">
        <f>(résultats!Q49-résultats!Q59)/résultats!Q60</f>
        <v>0.63570506080743405</v>
      </c>
      <c r="R45" s="13">
        <f>(résultats!R49-résultats!R59)/résultats!R60</f>
        <v>-5.0627699609770684E-2</v>
      </c>
      <c r="S45" s="13">
        <f>(résultats!S49-résultats!S59)/résultats!S60</f>
        <v>-0.58075576986999167</v>
      </c>
      <c r="T45" s="13">
        <f>(résultats!T49-résultats!T59)/résultats!T60</f>
        <v>-0.27698440304470562</v>
      </c>
      <c r="U45" s="13">
        <f>(résultats!U49-résultats!U59)/résultats!U60</f>
        <v>-0.99990377728636026</v>
      </c>
      <c r="V45" s="13">
        <f>(résultats!V49-résultats!V59)/résultats!V60</f>
        <v>-0.96098328492889673</v>
      </c>
      <c r="W45" s="13">
        <f>(résultats!W49-résultats!W59)/résultats!W60</f>
        <v>0.99381428445655862</v>
      </c>
      <c r="X45" s="13">
        <f>(résultats!X49-résultats!X59)/résultats!X60</f>
        <v>-0.16693881523051168</v>
      </c>
      <c r="Y45" s="13">
        <f>(résultats!Y49-résultats!Y59)/résultats!Y60</f>
        <v>-0.23396771498152802</v>
      </c>
      <c r="Z45" s="13">
        <f>(résultats!Z49-résultats!Z59)/résultats!Z60</f>
        <v>2.9331976536184725</v>
      </c>
      <c r="AA45" s="13">
        <f>(résultats!AA49-résultats!AA59)/résultats!AA60</f>
        <v>2.9129030619076737</v>
      </c>
      <c r="AB45" s="72"/>
      <c r="AC45" s="13">
        <f t="shared" si="0"/>
        <v>1.3282425286181718</v>
      </c>
      <c r="AD45" s="72"/>
    </row>
    <row r="46" spans="1:30">
      <c r="A46" s="88"/>
      <c r="B46" s="90"/>
      <c r="C46" s="1" t="s">
        <v>56</v>
      </c>
      <c r="D46" s="17">
        <v>141030</v>
      </c>
      <c r="E46" s="14">
        <f>(résultats!E50-résultats!E59)/résultats!E60</f>
        <v>-0.46531980089328695</v>
      </c>
      <c r="F46" s="14">
        <f>(résultats!F50-résultats!F59)/résultats!F60</f>
        <v>0.93612885441350613</v>
      </c>
      <c r="G46" s="14">
        <f>(résultats!G50-résultats!G59)/résultats!G60</f>
        <v>2.0391166256076061</v>
      </c>
      <c r="H46" s="14">
        <f>(résultats!H50-résultats!H59)/résultats!H60</f>
        <v>1.9273073460965053</v>
      </c>
      <c r="I46" s="14">
        <f>(résultats!I50-résultats!I59)/résultats!I60</f>
        <v>1.8935431124581332</v>
      </c>
      <c r="J46" s="14">
        <f>(résultats!J50-résultats!J59)/résultats!J60</f>
        <v>1.8309176443541439</v>
      </c>
      <c r="K46" s="14">
        <f>(résultats!K50-résultats!K59)/résultats!K60</f>
        <v>-1.3638826107769817</v>
      </c>
      <c r="L46" s="14">
        <f>(résultats!L50-résultats!L59)/résultats!L60</f>
        <v>-1.2341673562234483</v>
      </c>
      <c r="M46" s="14">
        <f>(résultats!M50-résultats!M59)/résultats!M60</f>
        <v>2.0353550420991491</v>
      </c>
      <c r="N46" s="14">
        <f>(résultats!N50-résultats!N59)/résultats!N60</f>
        <v>1.8112353122028315</v>
      </c>
      <c r="O46" s="14">
        <f>(résultats!O50-résultats!O59)/résultats!O60</f>
        <v>2.1407222469673255</v>
      </c>
      <c r="P46" s="14">
        <f>(résultats!P50-résultats!P59)/résultats!P60</f>
        <v>1.540537052285563</v>
      </c>
      <c r="Q46" s="14">
        <f>(résultats!Q50-résultats!Q59)/résultats!Q60</f>
        <v>1.9519748568019015</v>
      </c>
      <c r="R46" s="14">
        <f>(résultats!R50-résultats!R59)/résultats!R60</f>
        <v>1.7526319262102565</v>
      </c>
      <c r="S46" s="14">
        <f>(résultats!S50-résultats!S59)/résultats!S60</f>
        <v>-0.63719494474522975</v>
      </c>
      <c r="T46" s="14">
        <f>(résultats!T50-résultats!T59)/résultats!T60</f>
        <v>0.34542972722981541</v>
      </c>
      <c r="U46" s="14">
        <f>(résultats!U50-résultats!U59)/résultats!U60</f>
        <v>-2.7144907893849348E-2</v>
      </c>
      <c r="V46" s="14">
        <f>(résultats!V50-résultats!V59)/résultats!V60</f>
        <v>-0.19789464745548832</v>
      </c>
      <c r="W46" s="14">
        <f>(résultats!W50-résultats!W59)/résultats!W60</f>
        <v>0.29042306782383104</v>
      </c>
      <c r="X46" s="14">
        <f>(résultats!X50-résultats!X59)/résultats!X60</f>
        <v>1.6453572773407774</v>
      </c>
      <c r="Y46" s="14">
        <f>(résultats!Y50-résultats!Y59)/résultats!Y60</f>
        <v>1.7964752978257512</v>
      </c>
      <c r="Z46" s="14">
        <f>(résultats!Z50-résultats!Z59)/résultats!Z60</f>
        <v>1.8061106812044452</v>
      </c>
      <c r="AA46" s="14">
        <f>(résultats!AA50-résultats!AA59)/résultats!AA60</f>
        <v>1.4050026753016944</v>
      </c>
      <c r="AB46" s="14"/>
      <c r="AC46" s="14">
        <f t="shared" si="0"/>
        <v>4.2143054591961402</v>
      </c>
      <c r="AD46" s="14"/>
    </row>
    <row r="47" spans="1:30">
      <c r="A47" s="88"/>
      <c r="B47" s="91"/>
      <c r="C47" s="3" t="s">
        <v>57</v>
      </c>
      <c r="D47" s="17">
        <v>141030</v>
      </c>
      <c r="E47" s="71">
        <f>(résultats!E51-résultats!E59)/résultats!E60</f>
        <v>2.0485738366881079</v>
      </c>
      <c r="F47" s="71">
        <f>(résultats!F51-résultats!F59)/résultats!F60</f>
        <v>1.3482430913704397</v>
      </c>
      <c r="G47" s="71">
        <f>(résultats!G51-résultats!G59)/résultats!G60</f>
        <v>0.95892529396135517</v>
      </c>
      <c r="H47" s="71">
        <f>(résultats!H51-résultats!H59)/résultats!H60</f>
        <v>0.29367204168819433</v>
      </c>
      <c r="I47" s="71">
        <f>(résultats!I51-résultats!I59)/résultats!I60</f>
        <v>1.8947931266366371</v>
      </c>
      <c r="J47" s="71">
        <f>(résultats!J51-résultats!J59)/résultats!J60</f>
        <v>0.72942286483256957</v>
      </c>
      <c r="K47" s="71">
        <f>(résultats!K51-résultats!K59)/résultats!K60</f>
        <v>-0.63246758479947796</v>
      </c>
      <c r="L47" s="71">
        <f>(résultats!L51-résultats!L59)/résultats!L60</f>
        <v>-0.64454992791676213</v>
      </c>
      <c r="M47" s="71">
        <f>(résultats!M51-résultats!M59)/résultats!M60</f>
        <v>0.95285754663301758</v>
      </c>
      <c r="N47" s="71">
        <f>(résultats!N51-résultats!N59)/résultats!N60</f>
        <v>0.27906693824750384</v>
      </c>
      <c r="O47" s="71">
        <f>(résultats!O51-résultats!O59)/résultats!O60</f>
        <v>0.48882948868869702</v>
      </c>
      <c r="P47" s="71">
        <f>(résultats!P51-résultats!P59)/résultats!P60</f>
        <v>0.57527478046269953</v>
      </c>
      <c r="Q47" s="71">
        <f>(résultats!Q51-résultats!Q59)/résultats!Q60</f>
        <v>1.2400199299749279</v>
      </c>
      <c r="R47" s="71">
        <f>(résultats!R51-résultats!R59)/résultats!R60</f>
        <v>0.68047093350296983</v>
      </c>
      <c r="S47" s="71">
        <f>(résultats!S51-résultats!S59)/résultats!S60</f>
        <v>-1.2406599684111861</v>
      </c>
      <c r="T47" s="71">
        <f>(résultats!T51-résultats!T59)/résultats!T60</f>
        <v>-1.7278229743184124</v>
      </c>
      <c r="U47" s="71">
        <f>(résultats!U51-résultats!U59)/résultats!U60</f>
        <v>-1.5421651044796325</v>
      </c>
      <c r="V47" s="71">
        <f>(résultats!V51-résultats!V59)/résultats!V60</f>
        <v>-1.0471899510869809</v>
      </c>
      <c r="W47" s="71">
        <f>(résultats!W51-résultats!W59)/résultats!W60</f>
        <v>1.6287674367682563</v>
      </c>
      <c r="X47" s="71">
        <f>(résultats!X51-résultats!X59)/résultats!X60</f>
        <v>-3.0042985583180217E-2</v>
      </c>
      <c r="Y47" s="71">
        <f>(résultats!Y51-résultats!Y59)/résultats!Y60</f>
        <v>-9.8604847461043074E-2</v>
      </c>
      <c r="Z47" s="71">
        <f>(résultats!Z51-résultats!Z59)/résultats!Z60</f>
        <v>0.21710281845680032</v>
      </c>
      <c r="AA47" s="71">
        <f>(résultats!AA51-résultats!AA59)/résultats!AA60</f>
        <v>0.42265714656815739</v>
      </c>
      <c r="AB47" s="71"/>
      <c r="AC47" s="71">
        <f t="shared" si="0"/>
        <v>2.2355927497957762</v>
      </c>
      <c r="AD47" s="71"/>
    </row>
    <row r="48" spans="1:30">
      <c r="A48" s="88"/>
      <c r="B48" s="70">
        <v>16</v>
      </c>
      <c r="C48" s="1" t="s">
        <v>56</v>
      </c>
      <c r="D48" s="17">
        <f>D3*16</f>
        <v>150432</v>
      </c>
      <c r="E48" s="14">
        <f>(résultats!E52-résultats!E59)/résultats!E60</f>
        <v>-1.2759617543726787</v>
      </c>
      <c r="F48" s="14">
        <f>(résultats!F52-résultats!F59)/résultats!F60</f>
        <v>0.50000463278159335</v>
      </c>
      <c r="G48" s="14">
        <f>(résultats!G52-résultats!G59)/résultats!G60</f>
        <v>3.0961151242136662</v>
      </c>
      <c r="H48" s="14">
        <f>(résultats!H52-résultats!H59)/résultats!H60</f>
        <v>2.7129709962466029</v>
      </c>
      <c r="I48" s="14">
        <f>(résultats!I52-résultats!I59)/résultats!I60</f>
        <v>2.855429022816705</v>
      </c>
      <c r="J48" s="14">
        <f>(résultats!J52-résultats!J59)/résultats!J60</f>
        <v>2.3006043576555979</v>
      </c>
      <c r="K48" s="14">
        <f>(résultats!K52-résultats!K59)/résultats!K60</f>
        <v>-2.1066198507789053</v>
      </c>
      <c r="L48" s="14">
        <f>(résultats!L52-résultats!L59)/résultats!L60</f>
        <v>-1.5041379383987104</v>
      </c>
      <c r="M48" s="14">
        <f>(résultats!M52-résultats!M59)/résultats!M60</f>
        <v>3.1081780148858691</v>
      </c>
      <c r="N48" s="14">
        <f>(résultats!N52-résultats!N59)/résultats!N60</f>
        <v>2.6886860765487119</v>
      </c>
      <c r="O48" s="14">
        <f>(résultats!O52-résultats!O59)/résultats!O60</f>
        <v>3.3700025253873642</v>
      </c>
      <c r="P48" s="14">
        <f>(résultats!P52-résultats!P59)/résultats!P60</f>
        <v>2.5024627797882646</v>
      </c>
      <c r="Q48" s="14">
        <f>(résultats!Q52-résultats!Q59)/résultats!Q60</f>
        <v>2.9484608451343517</v>
      </c>
      <c r="R48" s="14">
        <f>(résultats!R52-résultats!R59)/résultats!R60</f>
        <v>2.1152561796483207</v>
      </c>
      <c r="S48" s="14">
        <f>(résultats!S52-résultats!S59)/résultats!S60</f>
        <v>-2.2348577412133857</v>
      </c>
      <c r="T48" s="14">
        <f>(résultats!T52-résultats!T59)/résultats!T60</f>
        <v>-1.1054088440438914</v>
      </c>
      <c r="U48" s="14">
        <f>(résultats!U52-résultats!U59)/résultats!U60</f>
        <v>0.39093443597271915</v>
      </c>
      <c r="V48" s="14">
        <f>(résultats!V52-résultats!V59)/résultats!V60</f>
        <v>5.114683255675425E-2</v>
      </c>
      <c r="W48" s="14">
        <f>(résultats!W52-résultats!W59)/résultats!W60</f>
        <v>3.568138396224918E-2</v>
      </c>
      <c r="X48" s="14">
        <f>(résultats!X52-résultats!X59)/résultats!X60</f>
        <v>2.0643334962025679</v>
      </c>
      <c r="Y48" s="14">
        <f>(résultats!Y52-résultats!Y59)/résultats!Y60</f>
        <v>2.3519298231684349</v>
      </c>
      <c r="Z48" s="14">
        <f>(résultats!Z52-résultats!Z59)/résultats!Z60</f>
        <v>2.6006146125782679</v>
      </c>
      <c r="AA48" s="14">
        <f>(résultats!AA52-résultats!AA59)/résultats!AA60</f>
        <v>2.2924743069180713</v>
      </c>
      <c r="AB48" s="14"/>
      <c r="AC48" s="14">
        <f t="shared" si="0"/>
        <v>6.412433899625249</v>
      </c>
      <c r="AD48" s="14"/>
    </row>
    <row r="49" spans="1:30">
      <c r="A49" s="88"/>
      <c r="B49" s="69">
        <v>17</v>
      </c>
      <c r="C49" s="3" t="s">
        <v>57</v>
      </c>
      <c r="D49" s="17">
        <f>D3*17</f>
        <v>159834</v>
      </c>
      <c r="E49" s="71">
        <f>(résultats!E53-résultats!E59)/résultats!E60</f>
        <v>-0.18391861322050357</v>
      </c>
      <c r="F49" s="71">
        <f>(résultats!F53-résultats!F59)/résultats!F60</f>
        <v>1.1050562465910243</v>
      </c>
      <c r="G49" s="71">
        <f>(résultats!G53-résultats!G59)/résultats!G60</f>
        <v>0.4601009771892362</v>
      </c>
      <c r="H49" s="71">
        <f>(résultats!H53-résultats!H59)/résultats!H60</f>
        <v>0.66443466310734112</v>
      </c>
      <c r="I49" s="71">
        <f>(résultats!I53-résultats!I59)/résultats!I60</f>
        <v>0.35540066580937235</v>
      </c>
      <c r="J49" s="71">
        <f>(résultats!J53-résultats!J59)/résultats!J60</f>
        <v>0.92428448014358244</v>
      </c>
      <c r="K49" s="71">
        <f>(résultats!K53-résultats!K59)/résultats!K60</f>
        <v>-0.19271279209102321</v>
      </c>
      <c r="L49" s="71">
        <f>(résultats!L53-résultats!L59)/résultats!L60</f>
        <v>0.33493185042562895</v>
      </c>
      <c r="M49" s="71">
        <f>(résultats!M53-résultats!M59)/résultats!M60</f>
        <v>0.44511994673526001</v>
      </c>
      <c r="N49" s="71">
        <f>(résultats!N53-résultats!N59)/résultats!N60</f>
        <v>0.63500404561717705</v>
      </c>
      <c r="O49" s="71">
        <f>(résultats!O53-résultats!O59)/résultats!O60</f>
        <v>0.5375674732956589</v>
      </c>
      <c r="P49" s="71">
        <f>(résultats!P53-résultats!P59)/résultats!P60</f>
        <v>0.4508216773206577</v>
      </c>
      <c r="Q49" s="71">
        <f>(résultats!Q53-résultats!Q59)/résultats!Q60</f>
        <v>0.37250128345360289</v>
      </c>
      <c r="R49" s="71">
        <f>(résultats!R53-résultats!R59)/résultats!R60</f>
        <v>0.87862306646025268</v>
      </c>
      <c r="S49" s="71">
        <f>(résultats!S53-résultats!S59)/résultats!S60</f>
        <v>-0.34631612038825438</v>
      </c>
      <c r="T49" s="71">
        <f>(résultats!T53-résultats!T59)/résultats!T60</f>
        <v>-0.70215461879560981</v>
      </c>
      <c r="U49" s="71">
        <f>(résultats!U53-résultats!U59)/résultats!U60</f>
        <v>0.55237101429743396</v>
      </c>
      <c r="V49" s="71">
        <f>(résultats!V53-résultats!V59)/résultats!V60</f>
        <v>-8.6145265398713075E-2</v>
      </c>
      <c r="W49" s="71">
        <f>(résultats!W53-résultats!W59)/résultats!W60</f>
        <v>-0.401561804755387</v>
      </c>
      <c r="X49" s="71">
        <f>(résultats!X53-résultats!X59)/résultats!X60</f>
        <v>0.7459091457598378</v>
      </c>
      <c r="Y49" s="71">
        <f>(résultats!Y53-résultats!Y59)/résultats!Y60</f>
        <v>0.72057388529223854</v>
      </c>
      <c r="Z49" s="71">
        <f>(résultats!Z53-résultats!Z59)/résultats!Z60</f>
        <v>0.32796383213686858</v>
      </c>
      <c r="AA49" s="71">
        <f>(résultats!AA53-résultats!AA59)/résultats!AA60</f>
        <v>0.586295230696665</v>
      </c>
      <c r="AB49" s="71"/>
      <c r="AC49" s="71">
        <f t="shared" si="0"/>
        <v>0.81238472547239871</v>
      </c>
      <c r="AD49" s="71"/>
    </row>
    <row r="50" spans="1:30">
      <c r="A50" s="88"/>
      <c r="B50" s="69">
        <v>18</v>
      </c>
      <c r="C50" s="3" t="s">
        <v>57</v>
      </c>
      <c r="D50" s="17">
        <f>D3*18</f>
        <v>169236</v>
      </c>
      <c r="E50" s="71">
        <f>(résultats!E54-résultats!E59)/résultats!E60</f>
        <v>-6.6775687618187168E-2</v>
      </c>
      <c r="F50" s="71">
        <f>(résultats!F54-résultats!F59)/résultats!F60</f>
        <v>1.4086110528389542</v>
      </c>
      <c r="G50" s="71">
        <f>(résultats!G54-résultats!G59)/résultats!G60</f>
        <v>0.70213900404456808</v>
      </c>
      <c r="H50" s="71">
        <f>(résultats!H54-résultats!H59)/résultats!H60</f>
        <v>1.0852493813616193</v>
      </c>
      <c r="I50" s="71">
        <f>(résultats!I54-résultats!I59)/résultats!I60</f>
        <v>0.6234037056805577</v>
      </c>
      <c r="J50" s="71">
        <f>(résultats!J54-résultats!J59)/résultats!J60</f>
        <v>1.1030831785167963</v>
      </c>
      <c r="K50" s="71">
        <f>(résultats!K54-résultats!K59)/résultats!K60</f>
        <v>-0.11889195665180788</v>
      </c>
      <c r="L50" s="71">
        <f>(résultats!L54-résultats!L59)/résultats!L60</f>
        <v>-0.56783468484521982</v>
      </c>
      <c r="M50" s="71">
        <f>(résultats!M54-résultats!M59)/résultats!M60</f>
        <v>0.6787072172116394</v>
      </c>
      <c r="N50" s="71">
        <f>(résultats!N54-résultats!N59)/résultats!N60</f>
        <v>0.87477116035701219</v>
      </c>
      <c r="O50" s="71">
        <f>(résultats!O54-résultats!O59)/résultats!O60</f>
        <v>0.82761263502331184</v>
      </c>
      <c r="P50" s="71">
        <f>(résultats!P54-résultats!P59)/résultats!P60</f>
        <v>1.3803829249177872</v>
      </c>
      <c r="Q50" s="71">
        <f>(résultats!Q54-résultats!Q59)/résultats!Q60</f>
        <v>0.64034688147573326</v>
      </c>
      <c r="R50" s="71">
        <f>(résultats!R54-résultats!R59)/résultats!R60</f>
        <v>1.070005767629455</v>
      </c>
      <c r="S50" s="71">
        <f>(résultats!S54-résultats!S59)/résultats!S60</f>
        <v>-0.37670644532106967</v>
      </c>
      <c r="T50" s="71">
        <f>(résultats!T54-résultats!T59)/résultats!T60</f>
        <v>-0.7898185808061069</v>
      </c>
      <c r="U50" s="71">
        <f>(résultats!U54-résultats!U59)/résultats!U60</f>
        <v>1.065656545381142</v>
      </c>
      <c r="V50" s="71">
        <f>(résultats!V54-résultats!V59)/résultats!V60</f>
        <v>0.36404510231572534</v>
      </c>
      <c r="W50" s="71">
        <f>(résultats!W54-résultats!W59)/résultats!W60</f>
        <v>-0.82739864941952457</v>
      </c>
      <c r="X50" s="71">
        <f>(résultats!X54-résultats!X59)/résultats!X60</f>
        <v>1.1455297825752462</v>
      </c>
      <c r="Y50" s="71">
        <f>(résultats!Y54-résultats!Y59)/résultats!Y60</f>
        <v>1.1803408663531971</v>
      </c>
      <c r="Z50" s="71">
        <f>(résultats!Z54-résultats!Z59)/résultats!Z60</f>
        <v>0.56816269511034978</v>
      </c>
      <c r="AA50" s="71">
        <f>(résultats!AA54-résultats!AA59)/résultats!AA60</f>
        <v>0.74140241944406549</v>
      </c>
      <c r="AB50" s="71"/>
      <c r="AC50" s="71">
        <f t="shared" si="0"/>
        <v>1.1704609089822233</v>
      </c>
      <c r="AD50" s="71"/>
    </row>
    <row r="51" spans="1:30">
      <c r="A51" s="88"/>
      <c r="B51" s="69">
        <v>19</v>
      </c>
      <c r="C51" s="3" t="s">
        <v>57</v>
      </c>
      <c r="D51" s="17">
        <f>D3*19</f>
        <v>178638</v>
      </c>
      <c r="E51" s="71">
        <f>(résultats!E55-résultats!E59)/résultats!E60</f>
        <v>-0.52211637088228857</v>
      </c>
      <c r="F51" s="71">
        <f>(résultats!F55-résultats!F59)/résultats!F60</f>
        <v>1.4917884997486959</v>
      </c>
      <c r="G51" s="71">
        <f>(résultats!G55-résultats!G59)/résultats!G60</f>
        <v>0.67787573255636824</v>
      </c>
      <c r="H51" s="71">
        <f>(résultats!H55-résultats!H59)/résultats!H60</f>
        <v>1.2402051880018927</v>
      </c>
      <c r="I51" s="71">
        <f>(résultats!I55-résultats!I59)/résultats!I60</f>
        <v>0.52340257140026436</v>
      </c>
      <c r="J51" s="71">
        <f>(résultats!J55-résultats!J59)/résultats!J60</f>
        <v>1.3900212958373801</v>
      </c>
      <c r="K51" s="71">
        <f>(résultats!K55-résultats!K59)/résultats!K60</f>
        <v>0.10981676664146775</v>
      </c>
      <c r="L51" s="71">
        <f>(résultats!L55-résultats!L59)/résultats!L60</f>
        <v>-0.22261609102328095</v>
      </c>
      <c r="M51" s="71">
        <f>(résultats!M55-résultats!M59)/résultats!M60</f>
        <v>0.64117473163609318</v>
      </c>
      <c r="N51" s="71">
        <f>(résultats!N55-résultats!N59)/résultats!N60</f>
        <v>1.0899157262767636</v>
      </c>
      <c r="O51" s="71">
        <f>(résultats!O55-résultats!O59)/résultats!O60</f>
        <v>0.9749096551687968</v>
      </c>
      <c r="P51" s="71">
        <f>(résultats!P55-résultats!P59)/résultats!P60</f>
        <v>1.339176602563787</v>
      </c>
      <c r="Q51" s="71">
        <f>(résultats!Q55-résultats!Q59)/résultats!Q60</f>
        <v>0.52743773008467143</v>
      </c>
      <c r="R51" s="71">
        <f>(résultats!R55-résultats!R59)/résultats!R60</f>
        <v>1.3596705895737562</v>
      </c>
      <c r="S51" s="71">
        <f>(résultats!S55-résultats!S59)/résultats!S60</f>
        <v>-2.1784185663381539</v>
      </c>
      <c r="T51" s="71">
        <f>(résultats!T55-résultats!T59)/résultats!T60</f>
        <v>-2.1924419729740414</v>
      </c>
      <c r="U51" s="71">
        <f>(résultats!U55-résultats!U59)/résultats!U60</f>
        <v>0.76348038595282985</v>
      </c>
      <c r="V51" s="71">
        <f>(résultats!V55-résultats!V59)/résultats!V60</f>
        <v>0.45025176847380904</v>
      </c>
      <c r="W51" s="71">
        <f>(résultats!W55-résultats!W59)/résultats!W60</f>
        <v>-0.629688685825463</v>
      </c>
      <c r="X51" s="71">
        <f>(résultats!X55-résultats!X59)/résultats!X60</f>
        <v>1.1926025291538445</v>
      </c>
      <c r="Y51" s="71">
        <f>(résultats!Y55-résultats!Y59)/résultats!Y60</f>
        <v>1.2363530873961586</v>
      </c>
      <c r="Z51" s="71">
        <f>(résultats!Z55-résultats!Z59)/résultats!Z60</f>
        <v>0.80836155808383103</v>
      </c>
      <c r="AA51" s="71">
        <f>(résultats!AA55-résultats!AA59)/résultats!AA60</f>
        <v>0.85333810732343951</v>
      </c>
      <c r="AB51" s="71"/>
      <c r="AC51" s="71">
        <f t="shared" si="0"/>
        <v>0.89337861273305674</v>
      </c>
      <c r="AD51" s="71"/>
    </row>
    <row r="52" spans="1:30">
      <c r="A52" s="88"/>
      <c r="B52" s="69">
        <v>20</v>
      </c>
      <c r="C52" s="3" t="s">
        <v>57</v>
      </c>
      <c r="D52" s="17">
        <f>D3*20</f>
        <v>188040</v>
      </c>
      <c r="E52" s="71">
        <f>(résultats!E56-résultats!E59)/résultats!E60</f>
        <v>0.10651839240507466</v>
      </c>
      <c r="F52" s="71">
        <f>(résultats!F56-résultats!F59)/résultats!F60</f>
        <v>1.2851311316533551</v>
      </c>
      <c r="G52" s="71">
        <f>(résultats!G56-résultats!G59)/résultats!G60</f>
        <v>1.4812992565896674</v>
      </c>
      <c r="H52" s="71">
        <f>(résultats!H56-résultats!H59)/résultats!H60</f>
        <v>0.96269030863175831</v>
      </c>
      <c r="I52" s="71">
        <f>(résultats!I56-résultats!I59)/résultats!I60</f>
        <v>1.4384129500649487</v>
      </c>
      <c r="J52" s="71">
        <f>(résultats!J56-résultats!J59)/résultats!J60</f>
        <v>1.1476731337321084</v>
      </c>
      <c r="K52" s="71">
        <f>(résultats!K56-résultats!K59)/résultats!K60</f>
        <v>-1.623387756216679</v>
      </c>
      <c r="L52" s="71">
        <f>(résultats!L56-résultats!L59)/résultats!L60</f>
        <v>-0.16581327443205776</v>
      </c>
      <c r="M52" s="71">
        <f>(résultats!M56-résultats!M59)/résultats!M60</f>
        <v>1.5110658491836044</v>
      </c>
      <c r="N52" s="71">
        <f>(résultats!N56-résultats!N59)/résultats!N60</f>
        <v>0.90803178368119231</v>
      </c>
      <c r="O52" s="71">
        <f>(résultats!O56-résultats!O59)/résultats!O60</f>
        <v>1.25195802100126</v>
      </c>
      <c r="P52" s="71">
        <f>(résultats!P56-résultats!P59)/résultats!P60</f>
        <v>1.8126322415947731</v>
      </c>
      <c r="Q52" s="71">
        <f>(résultats!Q56-résultats!Q59)/résultats!Q60</f>
        <v>1.5185291700728811</v>
      </c>
      <c r="R52" s="71">
        <f>(résultats!R56-résultats!R59)/résultats!R60</f>
        <v>1.1507375096947152</v>
      </c>
      <c r="S52" s="71">
        <f>(résultats!S56-résultats!S59)/résultats!S60</f>
        <v>-0.33763317040744473</v>
      </c>
      <c r="T52" s="71">
        <f>(résultats!T56-résultats!T59)/résultats!T60</f>
        <v>-0.53120989287514275</v>
      </c>
      <c r="U52" s="71">
        <f>(résultats!U56-résultats!U59)/résultats!U60</f>
        <v>1.7652150514549043</v>
      </c>
      <c r="V52" s="71">
        <f>(résultats!V56-résultats!V59)/résultats!V60</f>
        <v>1.7018448475096923</v>
      </c>
      <c r="W52" s="71">
        <f>(résultats!W56-résultats!W59)/résultats!W60</f>
        <v>-1.4167264255172114</v>
      </c>
      <c r="X52" s="71">
        <f>(résultats!X56-résultats!X59)/résultats!X60</f>
        <v>1.6289469285460394</v>
      </c>
      <c r="Y52" s="71">
        <f>(résultats!Y56-résultats!Y59)/résultats!Y60</f>
        <v>1.775470714934644</v>
      </c>
      <c r="Z52" s="71">
        <f>(résultats!Z56-résultats!Z59)/résultats!Z60</f>
        <v>1.2333287771907593</v>
      </c>
      <c r="AA52" s="71">
        <f>(résultats!AA56-résultats!AA59)/résultats!AA60</f>
        <v>1.4737668623130418</v>
      </c>
      <c r="AB52" s="71"/>
      <c r="AC52" s="71">
        <f t="shared" si="0"/>
        <v>3.6025829682562751</v>
      </c>
      <c r="AD52" s="71"/>
    </row>
    <row r="53" spans="1:30">
      <c r="A53" s="88"/>
      <c r="B53" s="69">
        <v>21</v>
      </c>
      <c r="C53" s="3" t="s">
        <v>57</v>
      </c>
      <c r="D53" s="17">
        <f>D3*21</f>
        <v>197442</v>
      </c>
      <c r="E53" s="71">
        <f>(résultats!E57-résultats!E59)/résultats!E60</f>
        <v>-0.64280908210891807</v>
      </c>
      <c r="F53" s="71">
        <f>(résultats!F57-résultats!F59)/résultats!F60</f>
        <v>1.2805006346088956</v>
      </c>
      <c r="G53" s="71">
        <f>(résultats!G57-résultats!G59)/résultats!G60</f>
        <v>1.6272356983348721</v>
      </c>
      <c r="H53" s="71">
        <f>(résultats!H57-résultats!H59)/résultats!H60</f>
        <v>1.2828008936989146</v>
      </c>
      <c r="I53" s="71">
        <f>(résultats!I57-résultats!I59)/résultats!I60</f>
        <v>1.4449130237931676</v>
      </c>
      <c r="J53" s="71">
        <f>(résultats!J57-résultats!J59)/résultats!J60</f>
        <v>1.3652686041627387</v>
      </c>
      <c r="K53" s="71">
        <f>(résultats!K57-résultats!K59)/résultats!K60</f>
        <v>-0.73617906526316201</v>
      </c>
      <c r="L53" s="71">
        <f>(résultats!L57-résultats!L59)/résultats!L60</f>
        <v>-0.99647586539522792</v>
      </c>
      <c r="M53" s="71">
        <f>(résultats!M57-résultats!M59)/résultats!M60</f>
        <v>1.5914926039883455</v>
      </c>
      <c r="N53" s="71">
        <f>(résultats!N57-résultats!N59)/résultats!N60</f>
        <v>1.1152648421112099</v>
      </c>
      <c r="O53" s="71">
        <f>(résultats!O57-résultats!O59)/résultats!O60</f>
        <v>1.8825192351828872</v>
      </c>
      <c r="P53" s="71">
        <f>(résultats!P57-résultats!P59)/résultats!P60</f>
        <v>2.0068191210282005</v>
      </c>
      <c r="Q53" s="71">
        <f>(résultats!Q57-résultats!Q59)/résultats!Q60</f>
        <v>1.4738673279670826</v>
      </c>
      <c r="R53" s="71">
        <f>(résultats!R57-résultats!R59)/résultats!R60</f>
        <v>1.2822817767865595</v>
      </c>
      <c r="S53" s="71">
        <f>(résultats!S57-résultats!S59)/résultats!S60</f>
        <v>-2.004759566722047</v>
      </c>
      <c r="T53" s="71">
        <f>(résultats!T57-résultats!T59)/résultats!T60</f>
        <v>-1.7848045496252327</v>
      </c>
      <c r="U53" s="71">
        <f>(résultats!U57-résultats!U59)/résultats!U60</f>
        <v>0.10531587432130121</v>
      </c>
      <c r="V53" s="71">
        <f>(résultats!V57-résultats!V59)/résultats!V60</f>
        <v>-0.30964402951226355</v>
      </c>
      <c r="W53" s="71">
        <f>(résultats!W57-résultats!W59)/résultats!W60</f>
        <v>0.25620403566331884</v>
      </c>
      <c r="X53" s="71">
        <f>(résultats!X57-résultats!X59)/résultats!X60</f>
        <v>1.6889100757269404</v>
      </c>
      <c r="Y53" s="71">
        <f>(résultats!Y57-résultats!Y59)/résultats!Y60</f>
        <v>1.8524875188687129</v>
      </c>
      <c r="Z53" s="71">
        <f>(résultats!Z57-résultats!Z59)/résultats!Z60</f>
        <v>1.3072361196441382</v>
      </c>
      <c r="AA53" s="71">
        <f>(résultats!AA57-résultats!AA59)/résultats!AA60</f>
        <v>1.5169383631810684</v>
      </c>
      <c r="AB53" s="71"/>
      <c r="AC53" s="71">
        <f t="shared" si="0"/>
        <v>3.0392661899999638</v>
      </c>
      <c r="AD53" s="71"/>
    </row>
    <row r="54" spans="1:30">
      <c r="A54" s="88"/>
      <c r="B54" s="69">
        <v>22</v>
      </c>
      <c r="C54" s="3" t="s">
        <v>57</v>
      </c>
      <c r="D54" s="17">
        <f>D3*22</f>
        <v>206844</v>
      </c>
      <c r="E54" s="71">
        <f>(résultats!E58-résultats!E59)/résultats!E60</f>
        <v>-1.2294918334725864</v>
      </c>
      <c r="F54" s="71">
        <f>(résultats!F58-résultats!F59)/résultats!F60</f>
        <v>0.98432032365399558</v>
      </c>
      <c r="G54" s="71">
        <f>(résultats!G58-résultats!G59)/résultats!G60</f>
        <v>2.6430817854952586</v>
      </c>
      <c r="H54" s="71">
        <f>(résultats!H58-résultats!H59)/résultats!H60</f>
        <v>1.9989572655385792</v>
      </c>
      <c r="I54" s="71">
        <f>(résultats!I58-résultats!I59)/résultats!I60</f>
        <v>2.3859236973707274</v>
      </c>
      <c r="J54" s="71">
        <f>(résultats!J58-résultats!J59)/résultats!J60</f>
        <v>1.9314205945933829</v>
      </c>
      <c r="K54" s="71">
        <f>(résultats!K58-résultats!K59)/résultats!K60</f>
        <v>-2.4526267113651676</v>
      </c>
      <c r="L54" s="71">
        <f>(résultats!L58-résultats!L59)/résultats!L60</f>
        <v>-1.7105983603262196</v>
      </c>
      <c r="M54" s="71">
        <f>(résultats!M58-résultats!M59)/résultats!M60</f>
        <v>2.6589537931214169</v>
      </c>
      <c r="N54" s="71">
        <f>(résultats!N58-résultats!N59)/résultats!N60</f>
        <v>1.9291813575344483</v>
      </c>
      <c r="O54" s="71">
        <f>(résultats!O58-résultats!O59)/résultats!O60</f>
        <v>2.7008841500500065</v>
      </c>
      <c r="P54" s="71">
        <f>(résultats!P58-résultats!P59)/résultats!P60</f>
        <v>2.1848237605088432</v>
      </c>
      <c r="Q54" s="71">
        <f>(résultats!Q58-résultats!Q59)/résultats!Q60</f>
        <v>2.4984551495346419</v>
      </c>
      <c r="R54" s="71">
        <f>(résultats!R58-résultats!R59)/résultats!R60</f>
        <v>1.8862655241008912</v>
      </c>
      <c r="S54" s="71">
        <f>(résultats!S58-résultats!S59)/résultats!S60</f>
        <v>-2.0004180917316421</v>
      </c>
      <c r="T54" s="71">
        <f>(résultats!T58-résultats!T59)/résultats!T60</f>
        <v>-1.8680853135352089</v>
      </c>
      <c r="U54" s="71">
        <f>(résultats!U58-résultats!U59)/résultats!U60</f>
        <v>-0.18030268733011673</v>
      </c>
      <c r="V54" s="71">
        <f>(résultats!V58-résultats!V59)/résultats!V60</f>
        <v>0.10542510384147311</v>
      </c>
      <c r="W54" s="71">
        <f>(résultats!W58-résultats!W59)/résultats!W60</f>
        <v>0.49953937547139665</v>
      </c>
      <c r="X54" s="71">
        <f>(résultats!X58-résultats!X59)/résultats!X60</f>
        <v>1.5794582197885692</v>
      </c>
      <c r="Y54" s="71">
        <f>(résultats!Y58-résultats!Y59)/résultats!Y60</f>
        <v>1.7124569662613121</v>
      </c>
      <c r="Z54" s="71">
        <f>(résultats!Z58-résultats!Z59)/résultats!Z60</f>
        <v>2.45279992767151</v>
      </c>
      <c r="AA54" s="71">
        <f>(résultats!AA58-résultats!AA59)/résultats!AA60</f>
        <v>2.2407719106689377</v>
      </c>
      <c r="AB54" s="71"/>
      <c r="AC54" s="71">
        <f t="shared" si="0"/>
        <v>5.9347783808811414</v>
      </c>
      <c r="AD54" s="71"/>
    </row>
  </sheetData>
  <mergeCells count="16">
    <mergeCell ref="B45:B47"/>
    <mergeCell ref="A3:A54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57"/>
  <sheetViews>
    <sheetView topLeftCell="A2" workbookViewId="0">
      <pane ySplit="1" topLeftCell="A3" activePane="bottomLeft" state="frozen"/>
      <selection activeCell="A2" sqref="A2"/>
      <selection pane="bottomLeft" activeCell="I5" sqref="I5"/>
    </sheetView>
  </sheetViews>
  <sheetFormatPr baseColWidth="10" defaultRowHeight="15"/>
  <cols>
    <col min="3" max="3" width="10.85546875" customWidth="1"/>
    <col min="4" max="4" width="8.28515625" customWidth="1"/>
    <col min="5" max="5" width="7.42578125" customWidth="1"/>
    <col min="6" max="6" width="8.5703125" customWidth="1"/>
    <col min="7" max="7" width="9.140625" customWidth="1"/>
    <col min="8" max="8" width="7.85546875" customWidth="1"/>
    <col min="9" max="9" width="8.85546875" customWidth="1"/>
    <col min="10" max="10" width="8.28515625" customWidth="1"/>
    <col min="11" max="11" width="8.42578125" customWidth="1"/>
    <col min="12" max="12" width="7.7109375" customWidth="1"/>
    <col min="13" max="13" width="8.5703125" customWidth="1"/>
    <col min="14" max="14" width="8" customWidth="1"/>
    <col min="15" max="15" width="8.7109375" customWidth="1"/>
    <col min="16" max="16" width="9" customWidth="1"/>
    <col min="17" max="17" width="8.140625" customWidth="1"/>
    <col min="18" max="21" width="9" customWidth="1"/>
    <col min="22" max="22" width="8.140625" customWidth="1"/>
    <col min="23" max="23" width="8.42578125" customWidth="1"/>
    <col min="24" max="24" width="7.28515625" customWidth="1"/>
    <col min="25" max="25" width="7.7109375" customWidth="1"/>
    <col min="26" max="26" width="8.5703125" customWidth="1"/>
    <col min="27" max="27" width="8.28515625" customWidth="1"/>
    <col min="28" max="28" width="9.140625" customWidth="1"/>
  </cols>
  <sheetData>
    <row r="1" spans="1:28">
      <c r="A1" s="88" t="s">
        <v>59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>
      <c r="A2" s="88"/>
      <c r="B2" s="12"/>
      <c r="C2" s="8" t="s">
        <v>30</v>
      </c>
      <c r="D2" s="8" t="s">
        <v>29</v>
      </c>
      <c r="E2" s="8" t="s">
        <v>48</v>
      </c>
      <c r="F2" s="8" t="s">
        <v>51</v>
      </c>
      <c r="G2" s="8" t="s">
        <v>49</v>
      </c>
      <c r="H2" s="8" t="s">
        <v>50</v>
      </c>
      <c r="I2" s="8" t="s">
        <v>52</v>
      </c>
      <c r="J2" s="8" t="s">
        <v>53</v>
      </c>
      <c r="K2" s="8" t="s">
        <v>31</v>
      </c>
      <c r="L2" s="8" t="s">
        <v>32</v>
      </c>
      <c r="M2" s="8" t="s">
        <v>27</v>
      </c>
      <c r="N2" s="8" t="s">
        <v>28</v>
      </c>
      <c r="O2" s="8" t="s">
        <v>38</v>
      </c>
      <c r="P2" s="8" t="s">
        <v>39</v>
      </c>
      <c r="Q2" s="8" t="s">
        <v>25</v>
      </c>
      <c r="R2" s="8" t="s">
        <v>26</v>
      </c>
      <c r="S2" s="50" t="s">
        <v>36</v>
      </c>
      <c r="T2" s="50" t="s">
        <v>37</v>
      </c>
      <c r="U2" s="8" t="s">
        <v>33</v>
      </c>
      <c r="V2" s="8" t="s">
        <v>35</v>
      </c>
      <c r="W2" s="8" t="s">
        <v>34</v>
      </c>
      <c r="X2" s="8" t="s">
        <v>5</v>
      </c>
      <c r="Y2" s="8" t="s">
        <v>6</v>
      </c>
      <c r="Z2" s="8" t="s">
        <v>12</v>
      </c>
      <c r="AA2" s="8" t="s">
        <v>13</v>
      </c>
      <c r="AB2" s="8" t="s">
        <v>14</v>
      </c>
    </row>
    <row r="3" spans="1:28">
      <c r="A3" s="88"/>
      <c r="B3" s="12" t="s">
        <v>30</v>
      </c>
      <c r="C3" s="38">
        <f>CORREL(résultats!$E7:$E58,résultats!E7:E58)</f>
        <v>1.0000000000000002</v>
      </c>
      <c r="D3" s="37">
        <f>CORREL(résultats!$E7:$E58,résultats!F7:F58)</f>
        <v>2.1600428776785432E-2</v>
      </c>
      <c r="E3" s="37">
        <f>CORREL(résultats!$E7:$E58,résultats!G7:G58)</f>
        <v>2.7286331492760527E-2</v>
      </c>
      <c r="F3" s="37">
        <f>CORREL(résultats!$E7:$E58,résultats!H7:H58)</f>
        <v>-0.32187436694973487</v>
      </c>
      <c r="G3" s="37">
        <f>CORREL(résultats!$E7:$E58,résultats!I7:I58)</f>
        <v>0.20630808441523144</v>
      </c>
      <c r="H3" s="37">
        <f>CORREL(résultats!$E7:$E58,résultats!J7:J58)</f>
        <v>-0.19062492062513814</v>
      </c>
      <c r="I3" s="37">
        <f>CORREL(résultats!$E7:$E58,résultats!K7:K58)</f>
        <v>0.19318047769229196</v>
      </c>
      <c r="J3" s="37">
        <f>CORREL(résultats!$E7:$E58,résultats!L7:L58)</f>
        <v>0.15414170439483471</v>
      </c>
      <c r="K3" s="37">
        <f>CORREL(résultats!$E7:$E58,résultats!M7:M58)</f>
        <v>3.2622404421297063E-5</v>
      </c>
      <c r="L3" s="37">
        <f>CORREL(résultats!$E7:$E58,résultats!N7:N58)</f>
        <v>-0.38604283874634204</v>
      </c>
      <c r="M3" s="37">
        <f>CORREL(résultats!$E7:$E58,résultats!O7:O58)</f>
        <v>-0.13520275558729175</v>
      </c>
      <c r="N3" s="37">
        <f>CORREL(résultats!$E7:$E58,résultats!P7:P58)</f>
        <v>-0.1166102418129239</v>
      </c>
      <c r="O3" s="37">
        <f>CORREL(résultats!$E7:$E58,résultats!Q7:Q58)</f>
        <v>0.14749220175599001</v>
      </c>
      <c r="P3" s="37">
        <f>CORREL(résultats!$E7:$E58,résultats!R7:R58)</f>
        <v>-0.21804825641543152</v>
      </c>
      <c r="Q3" s="37">
        <f>CORREL(résultats!$E7:$E58,résultats!S7:S58)</f>
        <v>3.9426929054074369E-2</v>
      </c>
      <c r="R3" s="37">
        <f>CORREL(résultats!$E7:$E58,résultats!T7:T58)</f>
        <v>-2.6935126400945687E-2</v>
      </c>
      <c r="S3" s="37">
        <f>CORREL(résultats!$E7:$E58,résultats!U7:U58)</f>
        <v>-0.13641241448622962</v>
      </c>
      <c r="T3" s="37">
        <f>CORREL(résultats!$E7:$E58,résultats!V7:V58)</f>
        <v>-8.893766710074423E-2</v>
      </c>
      <c r="U3" s="37">
        <f>CORREL(résultats!$E7:$E58,résultats!W7:W58)</f>
        <v>0.12154496454603132</v>
      </c>
      <c r="V3" s="37">
        <f>CORREL(résultats!$E7:$E58,résultats!X7:X58)</f>
        <v>-0.10800994658944216</v>
      </c>
      <c r="W3" s="37">
        <f>CORREL(résultats!$E7:$E58,résultats!Y7:Y58)</f>
        <v>-0.12923020541363828</v>
      </c>
      <c r="X3" s="37">
        <f>CORREL(résultats!$E7:$E58,résultats!Z7:Z58)</f>
        <v>-0.28674502118373113</v>
      </c>
      <c r="Y3" s="37">
        <f>CORREL(résultats!$E7:$E58,résultats!AA7:AA58)</f>
        <v>-0.26216943128111153</v>
      </c>
      <c r="Z3" s="37"/>
      <c r="AA3" s="37"/>
      <c r="AB3" s="37"/>
    </row>
    <row r="4" spans="1:28">
      <c r="A4" s="88"/>
      <c r="B4" s="12" t="s">
        <v>29</v>
      </c>
      <c r="C4" s="37">
        <f>CORREL(résultats!$F7:$F58,résultats!E7:E58)</f>
        <v>2.1600428776785432E-2</v>
      </c>
      <c r="D4" s="38">
        <f>CORREL(résultats!$F7:$F58,résultats!F7:F58)</f>
        <v>1</v>
      </c>
      <c r="E4" s="37">
        <f>CORREL(résultats!$F7:$F58,résultats!G7:G58)</f>
        <v>0.55617731367619061</v>
      </c>
      <c r="F4" s="37">
        <f>CORREL(résultats!$F7:$F58,résultats!H7:H58)</f>
        <v>0.70422869463071569</v>
      </c>
      <c r="G4" s="37">
        <f>CORREL(résultats!$F7:$F58,résultats!I7:I58)</f>
        <v>0.54853169729203788</v>
      </c>
      <c r="H4" s="37">
        <f>CORREL(résultats!$F7:$F58,résultats!J7:J58)</f>
        <v>0.83445079352019003</v>
      </c>
      <c r="I4" s="37">
        <f>CORREL(résultats!$F7:$F58,résultats!K7:K58)</f>
        <v>-0.44896321920205351</v>
      </c>
      <c r="J4" s="37">
        <f>CORREL(résultats!$F7:$F58,résultats!L7:L58)</f>
        <v>-0.7071455692440799</v>
      </c>
      <c r="K4" s="37">
        <f>CORREL(résultats!$F7:$F58,résultats!M7:M58)</f>
        <v>0.5629176772289689</v>
      </c>
      <c r="L4" s="37">
        <f>CORREL(résultats!$F7:$F58,résultats!N7:N58)</f>
        <v>0.6747254637747111</v>
      </c>
      <c r="M4" s="37">
        <f>CORREL(résultats!$F7:$F58,résultats!O7:O58)</f>
        <v>0.52548206948229215</v>
      </c>
      <c r="N4" s="37">
        <f>CORREL(résultats!$F7:$F58,résultats!P7:P58)</f>
        <v>0.73087141088984875</v>
      </c>
      <c r="O4" s="37">
        <f>CORREL(résultats!$F7:$F58,résultats!Q7:Q58)</f>
        <v>0.55166719643468576</v>
      </c>
      <c r="P4" s="37">
        <f>CORREL(résultats!$F7:$F58,résultats!R7:R58)</f>
        <v>0.83489363871894884</v>
      </c>
      <c r="Q4" s="37">
        <f>CORREL(résultats!$F7:$F58,résultats!S7:S58)</f>
        <v>-0.44471845352931416</v>
      </c>
      <c r="R4" s="37">
        <f>CORREL(résultats!$F7:$F58,résultats!T7:T58)</f>
        <v>-0.48294706522878805</v>
      </c>
      <c r="S4" s="37">
        <f>CORREL(résultats!$F7:$F58,résultats!U7:U58)</f>
        <v>0.16381678226034621</v>
      </c>
      <c r="T4" s="37">
        <f>CORREL(résultats!$F7:$F58,résultats!V7:V58)</f>
        <v>0.1577661482108037</v>
      </c>
      <c r="U4" s="37">
        <f>CORREL(résultats!$F7:$F58,résultats!W7:W58)</f>
        <v>-9.9173715639677085E-2</v>
      </c>
      <c r="V4" s="37">
        <f>CORREL(résultats!$F7:$F58,résultats!X7:X58)</f>
        <v>0.51053681727438216</v>
      </c>
      <c r="W4" s="37">
        <f>CORREL(résultats!$F7:$F58,résultats!Y7:Y58)</f>
        <v>0.51916242677487912</v>
      </c>
      <c r="X4" s="37">
        <f>CORREL(résultats!$F7:$F58,résultats!Z7:Z58)</f>
        <v>0.39289658740246952</v>
      </c>
      <c r="Y4" s="37">
        <f>CORREL(résultats!$F7:$F58,résultats!AA7:AA58)</f>
        <v>0.4058574050412761</v>
      </c>
      <c r="Z4" s="37"/>
      <c r="AA4" s="37"/>
      <c r="AB4" s="37"/>
    </row>
    <row r="5" spans="1:28">
      <c r="A5" s="88"/>
      <c r="B5" s="12" t="s">
        <v>48</v>
      </c>
      <c r="C5" s="37">
        <f>CORREL(résultats!$G7:$G58,résultats!E7:E58)</f>
        <v>2.7286331492760527E-2</v>
      </c>
      <c r="D5" s="37">
        <f>CORREL(résultats!$G7:$G58,résultats!F7:F58)</f>
        <v>0.55617731367619061</v>
      </c>
      <c r="E5" s="38">
        <f>CORREL(résultats!$G7:$G58,résultats!G7:G58)</f>
        <v>1</v>
      </c>
      <c r="F5" s="37">
        <f>CORREL(résultats!$G7:$G58,résultats!H7:H58)</f>
        <v>0.84767755850169457</v>
      </c>
      <c r="G5" s="81">
        <f>CORREL(résultats!$G7:$G58,résultats!I7:I58)</f>
        <v>0.9793469160049193</v>
      </c>
      <c r="H5" s="81">
        <f>CORREL(résultats!$G7:$G58,résultats!J7:J58)</f>
        <v>0.8399825043386776</v>
      </c>
      <c r="I5" s="105">
        <f>CORREL(résultats!$G7:$G58,résultats!K7:K58)</f>
        <v>-0.74829199507270838</v>
      </c>
      <c r="J5" s="81">
        <f>CORREL(résultats!$G7:$G58,résultats!L7:L58)</f>
        <v>-0.55231099567849151</v>
      </c>
      <c r="K5" s="82">
        <f>CORREL(résultats!$G7:$G58,résultats!M7:M58)</f>
        <v>0.99830016378079978</v>
      </c>
      <c r="L5" s="81">
        <f>CORREL(résultats!$G7:$G58,résultats!N7:N58)</f>
        <v>0.80891773192325689</v>
      </c>
      <c r="M5" s="82">
        <f>CORREL(résultats!$G7:$G58,résultats!O7:O58)</f>
        <v>0.96652564018737941</v>
      </c>
      <c r="N5" s="81">
        <f>CORREL(résultats!$G7:$G58,résultats!P7:P58)</f>
        <v>0.8545714703891617</v>
      </c>
      <c r="O5" s="82">
        <f>CORREL(résultats!$G7:$G58,résultats!Q7:Q58)</f>
        <v>0.99070039149766098</v>
      </c>
      <c r="P5" s="81">
        <f>CORREL(résultats!$G7:$G58,résultats!R7:R58)</f>
        <v>0.81717903533617686</v>
      </c>
      <c r="Q5" s="81">
        <f>CORREL(résultats!$G7:$G58,résultats!S7:S58)</f>
        <v>-0.75422117646355757</v>
      </c>
      <c r="R5" s="37">
        <f>CORREL(résultats!$G7:$G58,résultats!T7:T58)</f>
        <v>-0.60157519684603933</v>
      </c>
      <c r="S5" s="37">
        <f>CORREL(résultats!$G7:$G58,résultats!U7:U58)</f>
        <v>0.10087022822557777</v>
      </c>
      <c r="T5" s="37">
        <f>CORREL(résultats!$G7:$G58,résultats!V7:V58)</f>
        <v>-2.4184586981077748E-3</v>
      </c>
      <c r="U5" s="37">
        <f>CORREL(résultats!$G7:$G58,résultats!W7:W58)</f>
        <v>4.1303416319551811E-2</v>
      </c>
      <c r="V5" s="37">
        <f>CORREL(résultats!$G7:$G58,résultats!X7:X58)</f>
        <v>0.80119018783302998</v>
      </c>
      <c r="W5" s="37">
        <f>CORREL(résultats!$G7:$G58,résultats!Y7:Y58)</f>
        <v>0.82867525930156183</v>
      </c>
      <c r="X5" s="37">
        <f>CORREL(résultats!$G7:$G58,résultats!Z7:Z58)</f>
        <v>0.74494944627645177</v>
      </c>
      <c r="Y5" s="37">
        <f>CORREL(résultats!$G7:$G58,résultats!AA7:AA58)</f>
        <v>0.71295816873149942</v>
      </c>
      <c r="Z5" s="37"/>
      <c r="AA5" s="37"/>
      <c r="AB5" s="37"/>
    </row>
    <row r="6" spans="1:28">
      <c r="A6" s="88"/>
      <c r="B6" s="12" t="s">
        <v>51</v>
      </c>
      <c r="C6" s="37">
        <f>+CORREL(résultats!$H7:$H58,résultats!E7:E58)</f>
        <v>-0.32187436694973487</v>
      </c>
      <c r="D6" s="37">
        <f>+CORREL(résultats!$H7:$H58,résultats!F7:F58)</f>
        <v>0.70422869463071569</v>
      </c>
      <c r="E6" s="37">
        <f>+CORREL(résultats!$H7:$H58,résultats!G7:G58)</f>
        <v>0.84767755850169457</v>
      </c>
      <c r="F6" s="38">
        <f>+CORREL(résultats!$H7:$H58,résultats!H7:H58)</f>
        <v>1</v>
      </c>
      <c r="G6" s="37">
        <f>+CORREL(résultats!$H7:$H58,résultats!I7:I58)</f>
        <v>0.76679668557514269</v>
      </c>
      <c r="H6" s="81">
        <f>+CORREL(résultats!$H7:$H58,résultats!J7:J58)</f>
        <v>0.96828355984025616</v>
      </c>
      <c r="I6" s="37">
        <f>+CORREL(résultats!$H7:$H58,résultats!K7:K58)</f>
        <v>-0.7519219652459066</v>
      </c>
      <c r="J6" s="37">
        <f>+CORREL(résultats!$H7:$H58,résultats!L7:L58)</f>
        <v>-0.74530799255070113</v>
      </c>
      <c r="K6" s="37">
        <f>+CORREL(résultats!$H7:$H58,résultats!M7:M58)</f>
        <v>0.86139411156236534</v>
      </c>
      <c r="L6" s="81">
        <f>+CORREL(résultats!$H7:$H58,résultats!N7:N58)</f>
        <v>0.99074416897606232</v>
      </c>
      <c r="M6" s="37">
        <f>+CORREL(résultats!$H7:$H58,résultats!O7:O58)</f>
        <v>0.86128032403200472</v>
      </c>
      <c r="N6" s="81">
        <f>+CORREL(résultats!$H7:$H58,résultats!P7:P58)</f>
        <v>0.83792436617121802</v>
      </c>
      <c r="O6" s="37">
        <f>+CORREL(résultats!$H7:$H58,résultats!Q7:Q58)</f>
        <v>0.80010852865952031</v>
      </c>
      <c r="P6" s="81">
        <f>+CORREL(résultats!$H7:$H58,résultats!R7:R58)</f>
        <v>0.96876075362837444</v>
      </c>
      <c r="Q6" s="37">
        <f>+CORREL(résultats!$H7:$H58,résultats!S7:S58)</f>
        <v>-0.65569047751826348</v>
      </c>
      <c r="R6" s="37">
        <f>+CORREL(résultats!$H7:$H58,résultats!T7:T58)</f>
        <v>-0.51795097234769383</v>
      </c>
      <c r="S6" s="37">
        <f>+CORREL(résultats!$H7:$H58,résultats!U7:U58)</f>
        <v>0.18516693269993231</v>
      </c>
      <c r="T6" s="37">
        <f>+CORREL(résultats!$H7:$H58,résultats!V7:V58)</f>
        <v>8.273425262505571E-2</v>
      </c>
      <c r="U6" s="37">
        <f>+CORREL(résultats!$H7:$H58,résultats!W7:W58)</f>
        <v>-7.1427443372805266E-2</v>
      </c>
      <c r="V6" s="37">
        <f>+CORREL(résultats!$H7:$H58,résultats!X7:X58)</f>
        <v>0.73968447313533758</v>
      </c>
      <c r="W6" s="37">
        <f>+CORREL(résultats!$H7:$H58,résultats!Y7:Y58)</f>
        <v>0.76592415152232274</v>
      </c>
      <c r="X6" s="37">
        <f>+CORREL(résultats!$H7:$H58,résultats!Z7:Z58)</f>
        <v>0.69707106524922735</v>
      </c>
      <c r="Y6" s="37">
        <f>+CORREL(résultats!$H7:$H58,résultats!AA7:AA58)</f>
        <v>0.66070283942826369</v>
      </c>
      <c r="Z6" s="37"/>
      <c r="AA6" s="37"/>
      <c r="AB6" s="37"/>
    </row>
    <row r="7" spans="1:28">
      <c r="A7" s="88"/>
      <c r="B7" s="12" t="s">
        <v>49</v>
      </c>
      <c r="C7" s="37">
        <f>CORREL(résultats!$I7:$I58,résultats!E7:E58)</f>
        <v>0.20630808441523144</v>
      </c>
      <c r="D7" s="37">
        <f>CORREL(résultats!$I7:$I58,résultats!F7:F58)</f>
        <v>0.54853169729203788</v>
      </c>
      <c r="E7" s="81">
        <f>CORREL(résultats!$I7:$I58,résultats!G7:G58)</f>
        <v>0.9793469160049193</v>
      </c>
      <c r="F7" s="37">
        <f>CORREL(résultats!$I7:$I58,résultats!H7:H58)</f>
        <v>0.76679668557514269</v>
      </c>
      <c r="G7" s="38">
        <f>CORREL(résultats!$I7:$I58,résultats!I7:I58)</f>
        <v>1.0000000000000002</v>
      </c>
      <c r="H7" s="37">
        <f>CORREL(résultats!$I7:$I58,résultats!J7:J58)</f>
        <v>0.78369224231437951</v>
      </c>
      <c r="I7" s="37">
        <f>CORREL(résultats!$I7:$I58,résultats!K7:K58)</f>
        <v>-0.70332090791492208</v>
      </c>
      <c r="J7" s="37">
        <f>CORREL(résultats!$I7:$I58,résultats!L7:L58)</f>
        <v>-0.5137240463420486</v>
      </c>
      <c r="K7" s="81">
        <f>CORREL(résultats!$I7:$I58,résultats!M7:M58)</f>
        <v>0.97385634513980768</v>
      </c>
      <c r="L7" s="81">
        <f>CORREL(résultats!$I7:$I58,résultats!N7:N58)</f>
        <v>0.71980176709519095</v>
      </c>
      <c r="M7" s="81">
        <f>CORREL(résultats!$I7:$I58,résultats!O7:O58)</f>
        <v>0.91469419432925692</v>
      </c>
      <c r="N7" s="81">
        <f>CORREL(résultats!$I7:$I58,résultats!P7:P58)</f>
        <v>0.80949073690064777</v>
      </c>
      <c r="O7" s="81">
        <f>CORREL(résultats!$I7:$I58,résultats!Q7:Q58)</f>
        <v>0.99363301593311415</v>
      </c>
      <c r="P7" s="37">
        <f>CORREL(résultats!$I7:$I58,résultats!R7:R58)</f>
        <v>0.75631548684135574</v>
      </c>
      <c r="Q7" s="81">
        <f>CORREL(résultats!$I7:$I58,résultats!S7:S58)</f>
        <v>-0.73082720547527424</v>
      </c>
      <c r="R7" s="37">
        <f>CORREL(résultats!$I7:$I58,résultats!T7:T58)</f>
        <v>-0.60006223522333435</v>
      </c>
      <c r="S7" s="37">
        <f>CORREL(résultats!$I7:$I58,résultats!U7:U58)</f>
        <v>5.4784365915784498E-2</v>
      </c>
      <c r="T7" s="37">
        <f>CORREL(résultats!$I7:$I58,résultats!V7:V58)</f>
        <v>-2.8466217721790369E-2</v>
      </c>
      <c r="U7" s="37">
        <f>CORREL(résultats!$I7:$I58,résultats!W7:W58)</f>
        <v>8.0809026271778897E-2</v>
      </c>
      <c r="V7" s="37">
        <f>CORREL(résultats!$I7:$I58,résultats!X7:X58)</f>
        <v>0.74706398299879628</v>
      </c>
      <c r="W7" s="37">
        <f>CORREL(résultats!$I7:$I58,résultats!Y7:Y58)</f>
        <v>0.77071124980046934</v>
      </c>
      <c r="X7" s="37">
        <f>CORREL(résultats!$I7:$I58,résultats!Z7:Z58)</f>
        <v>0.67968590806856477</v>
      </c>
      <c r="Y7" s="37">
        <f>CORREL(résultats!$I7:$I58,résultats!AA7:AA58)</f>
        <v>0.65422269132591226</v>
      </c>
      <c r="Z7" s="37"/>
      <c r="AA7" s="37"/>
      <c r="AB7" s="37"/>
    </row>
    <row r="8" spans="1:28">
      <c r="A8" s="88"/>
      <c r="B8" s="12" t="s">
        <v>50</v>
      </c>
      <c r="C8" s="37">
        <f>CORREL(résultats!$J7:$J58,résultats!E7:E58)</f>
        <v>-0.19062492062513814</v>
      </c>
      <c r="D8" s="37">
        <f>CORREL(résultats!$J7:$J58,résultats!F7:F58)</f>
        <v>0.83445079352019003</v>
      </c>
      <c r="E8" s="81">
        <f>CORREL(résultats!$J7:$J58,résultats!G7:G58)</f>
        <v>0.8399825043386776</v>
      </c>
      <c r="F8" s="81">
        <f>CORREL(résultats!$J7:$J58,résultats!H7:H58)</f>
        <v>0.96828355984025616</v>
      </c>
      <c r="G8" s="37">
        <f>CORREL(résultats!$J7:$J58,résultats!I7:I58)</f>
        <v>0.78369224231437951</v>
      </c>
      <c r="H8" s="38">
        <f>CORREL(résultats!$J7:$J58,résultats!J7:J58)</f>
        <v>1</v>
      </c>
      <c r="I8" s="37">
        <f>CORREL(résultats!$J7:$J58,résultats!K7:K58)</f>
        <v>-0.70730123725288674</v>
      </c>
      <c r="J8" s="37">
        <f>CORREL(résultats!$J7:$J58,résultats!L7:L58)</f>
        <v>-0.78698119117560938</v>
      </c>
      <c r="K8" s="37">
        <f>CORREL(résultats!$J7:$J58,résultats!M7:M58)</f>
        <v>0.84991541547564364</v>
      </c>
      <c r="L8" s="81">
        <f>CORREL(résultats!$J7:$J58,résultats!N7:N58)</f>
        <v>0.94937844161339069</v>
      </c>
      <c r="M8" s="37">
        <f>CORREL(résultats!$J7:$J58,résultats!O7:O58)</f>
        <v>0.83593844693812958</v>
      </c>
      <c r="N8" s="81">
        <f>CORREL(résultats!$J7:$J58,résultats!P7:P58)</f>
        <v>0.86378460211746777</v>
      </c>
      <c r="O8" s="37">
        <f>CORREL(résultats!$J7:$J58,résultats!Q7:Q58)</f>
        <v>0.80648476454474494</v>
      </c>
      <c r="P8" s="81">
        <f>CORREL(résultats!$J7:$J58,résultats!R7:R58)</f>
        <v>0.99717680315854862</v>
      </c>
      <c r="Q8" s="81">
        <f>CORREL(résultats!$J7:$J58,résultats!S7:S58)</f>
        <v>-0.65274640993427713</v>
      </c>
      <c r="R8" s="37">
        <f>CORREL(résultats!$J7:$J58,résultats!T7:T58)</f>
        <v>-0.53773676589645714</v>
      </c>
      <c r="S8" s="37">
        <f>CORREL(résultats!$J7:$J58,résultats!U7:U58)</f>
        <v>0.19050691126051436</v>
      </c>
      <c r="T8" s="37">
        <f>CORREL(résultats!$J7:$J58,résultats!V7:V58)</f>
        <v>0.10617724018243217</v>
      </c>
      <c r="U8" s="37">
        <f>CORREL(résultats!$J7:$J58,résultats!W7:W58)</f>
        <v>-7.9205407496232047E-2</v>
      </c>
      <c r="V8" s="37">
        <f>CORREL(résultats!$J7:$J58,résultats!X7:X58)</f>
        <v>0.73845190764164614</v>
      </c>
      <c r="W8" s="37">
        <f>CORREL(résultats!$J7:$J58,résultats!Y7:Y58)</f>
        <v>0.76134858696206498</v>
      </c>
      <c r="X8" s="37">
        <f>CORREL(résultats!$J7:$J58,résultats!Z7:Z58)</f>
        <v>0.63896903439873887</v>
      </c>
      <c r="Y8" s="37">
        <f>CORREL(résultats!$J7:$J58,résultats!AA7:AA58)</f>
        <v>0.61358036026257001</v>
      </c>
      <c r="Z8" s="37"/>
      <c r="AA8" s="37"/>
      <c r="AB8" s="37"/>
    </row>
    <row r="9" spans="1:28">
      <c r="A9" s="88"/>
      <c r="B9" s="12" t="s">
        <v>52</v>
      </c>
      <c r="C9" s="37">
        <f>CORREL(résultats!$K7:$K58,résultats!E7:E58)</f>
        <v>0.19318047769229196</v>
      </c>
      <c r="D9" s="37">
        <f>CORREL(résultats!$K7:$K58,résultats!F7:F58)</f>
        <v>-0.44896321920205351</v>
      </c>
      <c r="E9" s="105">
        <f>CORREL(résultats!$K7:$K58,résultats!G7:G58)</f>
        <v>-0.74829199507270838</v>
      </c>
      <c r="F9" s="81">
        <f>CORREL(résultats!$K7:$K58,résultats!H7:H58)</f>
        <v>-0.7519219652459066</v>
      </c>
      <c r="G9" s="37">
        <f>CORREL(résultats!$K7:$K58,résultats!I7:I58)</f>
        <v>-0.70332090791492208</v>
      </c>
      <c r="H9" s="37">
        <f>CORREL(résultats!$K7:$K58,résultats!J7:J58)</f>
        <v>-0.70730123725288674</v>
      </c>
      <c r="I9" s="38">
        <f>CORREL(résultats!$K7:$K58,résultats!K7:K58)</f>
        <v>1.0000000000000002</v>
      </c>
      <c r="J9" s="37">
        <f>CORREL(résultats!$K7:$K58,résultats!L7:L58)</f>
        <v>0.63643723156537779</v>
      </c>
      <c r="K9" s="105">
        <f>CORREL(résultats!$K7:$K58,résultats!M7:M58)</f>
        <v>-0.78393941119812682</v>
      </c>
      <c r="L9" s="37">
        <f>CORREL(résultats!$K7:$K58,résultats!N7:N58)</f>
        <v>-0.79248556150093796</v>
      </c>
      <c r="M9" s="106">
        <f>CORREL(résultats!$K7:$K58,résultats!O7:O58)</f>
        <v>-0.63265321248376649</v>
      </c>
      <c r="N9" s="37">
        <f>CORREL(résultats!$K7:$K58,résultats!P7:P58)</f>
        <v>-0.61478771419643763</v>
      </c>
      <c r="O9" s="105">
        <f>CORREL(résultats!$K7:$K58,résultats!Q7:Q58)</f>
        <v>-0.75043016628169379</v>
      </c>
      <c r="P9" s="37">
        <f>CORREL(résultats!$K7:$K58,résultats!R7:R58)</f>
        <v>-0.72365648861359666</v>
      </c>
      <c r="Q9" s="81">
        <f>CORREL(résultats!$K7:$K58,résultats!S7:S58)</f>
        <v>0.3330422190111762</v>
      </c>
      <c r="R9" s="37">
        <f>CORREL(résultats!$K7:$K58,résultats!T7:T58)</f>
        <v>0.27212933275866424</v>
      </c>
      <c r="S9" s="37">
        <f>CORREL(résultats!$K7:$K58,résultats!U7:U58)</f>
        <v>-0.3493251807321977</v>
      </c>
      <c r="T9" s="37">
        <f>CORREL(résultats!$K7:$K58,résultats!V7:V58)</f>
        <v>-0.24094920022649449</v>
      </c>
      <c r="U9" s="37">
        <f>CORREL(résultats!$K7:$K58,résultats!W7:W58)</f>
        <v>0.25913460701920354</v>
      </c>
      <c r="V9" s="37">
        <f>CORREL(résultats!$K7:$K58,résultats!X7:X58)</f>
        <v>-0.6327184469096937</v>
      </c>
      <c r="W9" s="37">
        <f>CORREL(résultats!$K7:$K58,résultats!Y7:Y58)</f>
        <v>-0.64714242543981226</v>
      </c>
      <c r="X9" s="37">
        <f>CORREL(résultats!$K7:$K58,résultats!Z7:Z58)</f>
        <v>-0.62415597409920254</v>
      </c>
      <c r="Y9" s="37">
        <f>CORREL(résultats!$K7:$K58,résultats!AA7:AA58)</f>
        <v>-0.60764461010078119</v>
      </c>
      <c r="Z9" s="37"/>
      <c r="AA9" s="37"/>
      <c r="AB9" s="37"/>
    </row>
    <row r="10" spans="1:28">
      <c r="A10" s="88"/>
      <c r="B10" s="12" t="s">
        <v>53</v>
      </c>
      <c r="C10" s="37">
        <f>CORREL(résultats!$L7:$L58,résultats!E7:E58)</f>
        <v>0.15414170439483471</v>
      </c>
      <c r="D10" s="37">
        <f>CORREL(résultats!$L7:$L58,résultats!F7:F58)</f>
        <v>-0.7071455692440799</v>
      </c>
      <c r="E10" s="81">
        <f>CORREL(résultats!$L7:$L58,résultats!G7:G58)</f>
        <v>-0.55231099567849151</v>
      </c>
      <c r="F10" s="81">
        <f>CORREL(résultats!$L7:$L58,résultats!H7:H58)</f>
        <v>-0.74530799255070113</v>
      </c>
      <c r="G10" s="37">
        <f>CORREL(résultats!$L7:$L58,résultats!I7:I58)</f>
        <v>-0.5137240463420486</v>
      </c>
      <c r="H10" s="37">
        <f>CORREL(résultats!$L7:$L58,résultats!J7:J58)</f>
        <v>-0.78698119117560938</v>
      </c>
      <c r="I10" s="37">
        <f>CORREL(résultats!$L7:$L58,résultats!K7:K58)</f>
        <v>0.63643723156537779</v>
      </c>
      <c r="J10" s="38">
        <f>CORREL(résultats!$L7:$L58,résultats!L7:L58)</f>
        <v>0.99999999999999978</v>
      </c>
      <c r="K10" s="37">
        <f>CORREL(résultats!$L7:$L58,résultats!M7:M58)</f>
        <v>-0.57515965650290157</v>
      </c>
      <c r="L10" s="37">
        <f>CORREL(résultats!$L7:$L58,résultats!N7:N58)</f>
        <v>-0.7620291479047997</v>
      </c>
      <c r="M10" s="37">
        <f>CORREL(résultats!$L7:$L58,résultats!O7:O58)</f>
        <v>-0.50209566867655941</v>
      </c>
      <c r="N10" s="37">
        <f>CORREL(résultats!$L7:$L58,résultats!P7:P58)</f>
        <v>-0.61764660814043237</v>
      </c>
      <c r="O10" s="37">
        <f>CORREL(résultats!$L7:$L58,résultats!Q7:Q58)</f>
        <v>-0.54136199414794828</v>
      </c>
      <c r="P10" s="37">
        <f>CORREL(résultats!$L7:$L58,résultats!R7:R58)</f>
        <v>-0.80876406793868627</v>
      </c>
      <c r="Q10" s="81">
        <f>CORREL(résultats!$L7:$L58,résultats!S7:S58)</f>
        <v>0.25089921039702623</v>
      </c>
      <c r="R10" s="37">
        <f>CORREL(résultats!$L7:$L58,résultats!T7:T58)</f>
        <v>0.1868727543550015</v>
      </c>
      <c r="S10" s="37">
        <f>CORREL(résultats!$L7:$L58,résultats!U7:U58)</f>
        <v>-0.27276268104363366</v>
      </c>
      <c r="T10" s="37">
        <f>CORREL(résultats!$L7:$L58,résultats!V7:V58)</f>
        <v>-0.24624179784389452</v>
      </c>
      <c r="U10" s="37">
        <f>CORREL(résultats!$L7:$L58,résultats!W7:W58)</f>
        <v>0.2420650948338503</v>
      </c>
      <c r="V10" s="37">
        <f>CORREL(résultats!$L7:$L58,résultats!X7:X58)</f>
        <v>-0.46396775770211229</v>
      </c>
      <c r="W10" s="37">
        <f>CORREL(résultats!$L7:$L58,résultats!Y7:Y58)</f>
        <v>-0.4760228426186488</v>
      </c>
      <c r="X10" s="37">
        <f>CORREL(résultats!$L7:$L58,résultats!Z7:Z58)</f>
        <v>-0.39193031430561998</v>
      </c>
      <c r="Y10" s="37">
        <f>CORREL(résultats!$L7:$L58,résultats!AA7:AA58)</f>
        <v>-0.37741283622775729</v>
      </c>
      <c r="Z10" s="37"/>
      <c r="AA10" s="37"/>
      <c r="AB10" s="37"/>
    </row>
    <row r="11" spans="1:28">
      <c r="A11" s="88"/>
      <c r="B11" s="12" t="s">
        <v>31</v>
      </c>
      <c r="C11" s="37">
        <f>CORREL(résultats!$M7:$M58,résultats!E7:E58)</f>
        <v>3.2622404421297063E-5</v>
      </c>
      <c r="D11" s="37">
        <f>CORREL(résultats!$M7:$M58,résultats!F7:F58)</f>
        <v>0.5629176772289689</v>
      </c>
      <c r="E11" s="82">
        <f>CORREL(résultats!$M7:$M58,résultats!G7:G58)</f>
        <v>0.99830016378079978</v>
      </c>
      <c r="F11" s="81">
        <f>CORREL(résultats!$M7:$M58,résultats!H7:H58)</f>
        <v>0.86139411156236534</v>
      </c>
      <c r="G11" s="81">
        <f>CORREL(résultats!$M7:$M58,résultats!I7:I58)</f>
        <v>0.97385634513980768</v>
      </c>
      <c r="H11" s="37">
        <f>CORREL(résultats!$M7:$M58,résultats!J7:J58)</f>
        <v>0.84991541547564364</v>
      </c>
      <c r="I11" s="105">
        <f>CORREL(résultats!$M7:$M58,résultats!K7:K58)</f>
        <v>-0.78393941119812682</v>
      </c>
      <c r="J11" s="37">
        <f>CORREL(résultats!$M7:$M58,résultats!L7:L58)</f>
        <v>-0.57515965650290157</v>
      </c>
      <c r="K11" s="38">
        <f>CORREL(résultats!$M7:$M58,résultats!M7:M58)</f>
        <v>1</v>
      </c>
      <c r="L11" s="37">
        <f>CORREL(résultats!$M7:$M58,résultats!N7:N58)</f>
        <v>0.8290335042023439</v>
      </c>
      <c r="M11" s="82">
        <f>CORREL(résultats!$M7:$M58,résultats!O7:O58)</f>
        <v>0.95941376091915953</v>
      </c>
      <c r="N11" s="81">
        <f>CORREL(résultats!$M7:$M58,résultats!P7:P58)</f>
        <v>0.85725074464928219</v>
      </c>
      <c r="O11" s="82">
        <f>CORREL(résultats!$M7:$M58,résultats!Q7:Q58)</f>
        <v>0.98870948894592492</v>
      </c>
      <c r="P11" s="37">
        <f>CORREL(résultats!$M7:$M58,résultats!R7:R58)</f>
        <v>0.83021845525421034</v>
      </c>
      <c r="Q11" s="81">
        <f>CORREL(résultats!$M7:$M58,résultats!S7:S58)</f>
        <v>-0.73514695772878647</v>
      </c>
      <c r="R11" s="37">
        <f>CORREL(résultats!$M7:$M58,résultats!T7:T58)</f>
        <v>-0.5871596263216845</v>
      </c>
      <c r="S11" s="37">
        <f>CORREL(résultats!$M7:$M58,résultats!U7:U58)</f>
        <v>0.12251374755421078</v>
      </c>
      <c r="T11" s="37">
        <f>CORREL(résultats!$M7:$M58,résultats!V7:V58)</f>
        <v>1.7311123951686918E-2</v>
      </c>
      <c r="U11" s="37">
        <f>CORREL(résultats!$M7:$M58,résultats!W7:W58)</f>
        <v>1.7618629210744672E-2</v>
      </c>
      <c r="V11" s="37">
        <f>CORREL(résultats!$M7:$M58,résultats!X7:X58)</f>
        <v>0.80293667814103264</v>
      </c>
      <c r="W11" s="37">
        <f>CORREL(résultats!$M7:$M58,résultats!Y7:Y58)</f>
        <v>0.83008818846891863</v>
      </c>
      <c r="X11" s="37">
        <f>CORREL(résultats!$M7:$M58,résultats!Z7:Z58)</f>
        <v>0.75164615009279878</v>
      </c>
      <c r="Y11" s="37">
        <f>CORREL(résultats!$M7:$M58,résultats!AA7:AA58)</f>
        <v>0.71994246475179791</v>
      </c>
      <c r="Z11" s="37"/>
      <c r="AA11" s="37"/>
      <c r="AB11" s="37"/>
    </row>
    <row r="12" spans="1:28">
      <c r="A12" s="88"/>
      <c r="B12" s="12" t="s">
        <v>32</v>
      </c>
      <c r="C12" s="37">
        <f>CORREL(résultats!$N7:$N58,résultats!E7:E58)</f>
        <v>-0.38604283874634204</v>
      </c>
      <c r="D12" s="37">
        <f>CORREL(résultats!$N7:$N58,résultats!F7:F58)</f>
        <v>0.6747254637747111</v>
      </c>
      <c r="E12" s="81">
        <f>CORREL(résultats!$N7:$N58,résultats!G7:G58)</f>
        <v>0.80891773192325689</v>
      </c>
      <c r="F12" s="81">
        <f>CORREL(résultats!$N7:$N58,résultats!H7:H58)</f>
        <v>0.99074416897606232</v>
      </c>
      <c r="G12" s="81">
        <f>CORREL(résultats!$N7:$N58,résultats!I7:I58)</f>
        <v>0.71980176709519095</v>
      </c>
      <c r="H12" s="81">
        <f>CORREL(résultats!$N7:$N58,résultats!J7:J58)</f>
        <v>0.94937844161339069</v>
      </c>
      <c r="I12" s="37">
        <f>CORREL(résultats!$N7:$N58,résultats!K7:K58)</f>
        <v>-0.79248556150093796</v>
      </c>
      <c r="J12" s="37">
        <f>CORREL(résultats!$N7:$N58,résultats!L7:L58)</f>
        <v>-0.7620291479047997</v>
      </c>
      <c r="K12" s="37">
        <f>CORREL(résultats!$N7:$N58,résultats!M7:M58)</f>
        <v>0.8290335042023439</v>
      </c>
      <c r="L12" s="38">
        <f>CORREL(résultats!$N7:$N58,résultats!N7:N58)</f>
        <v>0.99999999999999989</v>
      </c>
      <c r="M12" s="37">
        <f>CORREL(résultats!$N7:$N58,résultats!O7:O58)</f>
        <v>0.81624679537109168</v>
      </c>
      <c r="N12" s="81">
        <f>CORREL(résultats!$N7:$N58,résultats!P7:P58)</f>
        <v>0.8053458396788461</v>
      </c>
      <c r="O12" s="37">
        <f>CORREL(résultats!$N7:$N58,résultats!Q7:Q58)</f>
        <v>0.75890211597416768</v>
      </c>
      <c r="P12" s="81">
        <f>CORREL(résultats!$N7:$N58,résultats!R7:R58)</f>
        <v>0.95757460590493859</v>
      </c>
      <c r="Q12" s="81">
        <f>CORREL(résultats!$N7:$N58,résultats!S7:S58)</f>
        <v>-0.59359015576225826</v>
      </c>
      <c r="R12" s="37">
        <f>CORREL(résultats!$N7:$N58,résultats!T7:T58)</f>
        <v>-0.46836196932403151</v>
      </c>
      <c r="S12" s="37">
        <f>CORREL(résultats!$N7:$N58,résultats!U7:U58)</f>
        <v>0.2208040514095414</v>
      </c>
      <c r="T12" s="37">
        <f>CORREL(résultats!$N7:$N58,résultats!V7:V58)</f>
        <v>0.11525667897339825</v>
      </c>
      <c r="U12" s="37">
        <f>CORREL(résultats!$N7:$N58,résultats!W7:W58)</f>
        <v>-0.11445869851597147</v>
      </c>
      <c r="V12" s="37">
        <f>CORREL(résultats!$N7:$N58,résultats!X7:X58)</f>
        <v>0.71790559663562192</v>
      </c>
      <c r="W12" s="37">
        <f>CORREL(résultats!$N7:$N58,résultats!Y7:Y58)</f>
        <v>0.74054358832367206</v>
      </c>
      <c r="X12" s="37">
        <f>CORREL(résultats!$N7:$N58,résultats!Z7:Z58)</f>
        <v>0.67727097537792724</v>
      </c>
      <c r="Y12" s="37">
        <f>CORREL(résultats!$N7:$N58,résultats!AA7:AA58)</f>
        <v>0.64144128746727125</v>
      </c>
      <c r="Z12" s="37"/>
      <c r="AA12" s="37"/>
      <c r="AB12" s="37"/>
    </row>
    <row r="13" spans="1:28">
      <c r="A13" s="88"/>
      <c r="B13" s="12" t="s">
        <v>27</v>
      </c>
      <c r="C13" s="37">
        <f>CORREL(résultats!$O7:$O58,résultats!E7:E58)</f>
        <v>-0.13520275558729175</v>
      </c>
      <c r="D13" s="37">
        <f>CORREL(résultats!$O7:$O58,résultats!F7:F58)</f>
        <v>0.52548206948229215</v>
      </c>
      <c r="E13" s="82">
        <f>CORREL(résultats!$O7:$O58,résultats!G7:G58)</f>
        <v>0.96652564018737941</v>
      </c>
      <c r="F13" s="81">
        <f>CORREL(résultats!$O7:$O58,résultats!H7:H58)</f>
        <v>0.86128032403200472</v>
      </c>
      <c r="G13" s="81">
        <f>CORREL(résultats!$O7:$O58,résultats!I7:I58)</f>
        <v>0.91469419432925692</v>
      </c>
      <c r="H13" s="81">
        <f>CORREL(résultats!$O7:$O58,résultats!J7:J58)</f>
        <v>0.83593844693812958</v>
      </c>
      <c r="I13" s="106">
        <f>CORREL(résultats!$O7:$O58,résultats!K7:K58)</f>
        <v>-0.63265321248376649</v>
      </c>
      <c r="J13" s="37">
        <f>CORREL(résultats!$O7:$O58,résultats!L7:L58)</f>
        <v>-0.50209566867655941</v>
      </c>
      <c r="K13" s="82">
        <f>CORREL(résultats!$O7:$O58,résultats!M7:M58)</f>
        <v>0.95941376091915953</v>
      </c>
      <c r="L13" s="37">
        <f>CORREL(résultats!$O7:$O58,résultats!N7:N58)</f>
        <v>0.81624679537109168</v>
      </c>
      <c r="M13" s="38">
        <f>CORREL(résultats!$O7:$O58,résultats!O7:O58)</f>
        <v>0.99999999999999978</v>
      </c>
      <c r="N13" s="37">
        <f>CORREL(résultats!$O7:$O58,résultats!P7:P58)</f>
        <v>0.86583398552368029</v>
      </c>
      <c r="O13" s="82">
        <f>CORREL(résultats!$O7:$O58,résultats!Q7:Q58)</f>
        <v>0.92699460955635415</v>
      </c>
      <c r="P13" s="37">
        <f>CORREL(résultats!$O7:$O58,résultats!R7:R58)</f>
        <v>0.80947599254304459</v>
      </c>
      <c r="Q13" s="81">
        <f>CORREL(résultats!$O7:$O58,résultats!S7:S58)</f>
        <v>-0.81606346480631198</v>
      </c>
      <c r="R13" s="37">
        <f>CORREL(résultats!$O7:$O58,résultats!T7:T58)</f>
        <v>-0.635363548401915</v>
      </c>
      <c r="S13" s="37">
        <f>CORREL(résultats!$O7:$O58,résultats!U7:U58)</f>
        <v>4.2620076068084572E-2</v>
      </c>
      <c r="T13" s="37">
        <f>CORREL(résultats!$O7:$O58,résultats!V7:V58)</f>
        <v>-5.8957696698537933E-2</v>
      </c>
      <c r="U13" s="37">
        <f>CORREL(résultats!$O7:$O58,résultats!W7:W58)</f>
        <v>0.10424539078353723</v>
      </c>
      <c r="V13" s="37">
        <f>CORREL(résultats!$O7:$O58,résultats!X7:X58)</f>
        <v>0.79358313201699004</v>
      </c>
      <c r="W13" s="37">
        <f>CORREL(résultats!$O7:$O58,résultats!Y7:Y58)</f>
        <v>0.82713737613208971</v>
      </c>
      <c r="X13" s="37">
        <f>CORREL(résultats!$O7:$O58,résultats!Z7:Z58)</f>
        <v>0.76916678566264163</v>
      </c>
      <c r="Y13" s="37">
        <f>CORREL(résultats!$O7:$O58,résultats!AA7:AA58)</f>
        <v>0.73002953468114196</v>
      </c>
      <c r="Z13" s="37"/>
      <c r="AA13" s="37"/>
      <c r="AB13" s="37"/>
    </row>
    <row r="14" spans="1:28">
      <c r="A14" s="88"/>
      <c r="B14" s="12" t="s">
        <v>28</v>
      </c>
      <c r="C14" s="37">
        <f>CORREL(résultats!$P7:$P58,résultats!E7:E58)</f>
        <v>-0.1166102418129239</v>
      </c>
      <c r="D14" s="37">
        <f>CORREL(résultats!$P7:$P58,résultats!F7:F58)</f>
        <v>0.73087141088984875</v>
      </c>
      <c r="E14" s="81">
        <f>CORREL(résultats!$P7:$P58,résultats!G7:G58)</f>
        <v>0.8545714703891617</v>
      </c>
      <c r="F14" s="81">
        <f>CORREL(résultats!$P7:$P58,résultats!H7:H58)</f>
        <v>0.83792436617121802</v>
      </c>
      <c r="G14" s="81">
        <f>CORREL(résultats!$P7:$P58,résultats!I7:I58)</f>
        <v>0.80949073690064777</v>
      </c>
      <c r="H14" s="81">
        <f>CORREL(résultats!$P7:$P58,résultats!J7:J58)</f>
        <v>0.86378460211746777</v>
      </c>
      <c r="I14" s="37">
        <f>CORREL(résultats!$P7:$P58,résultats!K7:K58)</f>
        <v>-0.61478771419643763</v>
      </c>
      <c r="J14" s="37">
        <f>CORREL(résultats!$P7:$P58,résultats!L7:L58)</f>
        <v>-0.61764660814043237</v>
      </c>
      <c r="K14" s="81">
        <f>CORREL(résultats!$P7:$P58,résultats!M7:M58)</f>
        <v>0.85725074464928219</v>
      </c>
      <c r="L14" s="81">
        <f>CORREL(résultats!$P7:$P58,résultats!N7:N58)</f>
        <v>0.8053458396788461</v>
      </c>
      <c r="M14" s="37">
        <f>CORREL(résultats!$P7:$P58,résultats!O7:O58)</f>
        <v>0.86583398552368029</v>
      </c>
      <c r="N14" s="38">
        <f>CORREL(résultats!$P7:$P58,résultats!P7:P58)</f>
        <v>1</v>
      </c>
      <c r="O14" s="37">
        <f>CORREL(résultats!$P7:$P58,résultats!Q7:Q58)</f>
        <v>0.82726969317787213</v>
      </c>
      <c r="P14" s="81">
        <f>CORREL(résultats!$P7:$P58,résultats!R7:R58)</f>
        <v>0.85244831244017383</v>
      </c>
      <c r="Q14" s="81">
        <f>CORREL(résultats!$P7:$P58,résultats!S7:S58)</f>
        <v>-0.67579406013065668</v>
      </c>
      <c r="R14" s="37">
        <f>CORREL(résultats!$P7:$P58,résultats!T7:T58)</f>
        <v>-0.58020384222175836</v>
      </c>
      <c r="S14" s="37">
        <f>CORREL(résultats!$P7:$P58,résultats!U7:U58)</f>
        <v>0.15504339179628904</v>
      </c>
      <c r="T14" s="37">
        <f>CORREL(résultats!$P7:$P58,résultats!V7:V58)</f>
        <v>7.6421920420684755E-2</v>
      </c>
      <c r="U14" s="37">
        <f>CORREL(résultats!$P7:$P58,résultats!W7:W58)</f>
        <v>-4.0367288966478204E-2</v>
      </c>
      <c r="V14" s="37">
        <f>CORREL(résultats!$P7:$P58,résultats!X7:X58)</f>
        <v>0.72835124885379654</v>
      </c>
      <c r="W14" s="37">
        <f>CORREL(résultats!$P7:$P58,résultats!Y7:Y58)</f>
        <v>0.75614315279581823</v>
      </c>
      <c r="X14" s="37">
        <f>CORREL(résultats!$P7:$P58,résultats!Z7:Z58)</f>
        <v>0.61476661452541836</v>
      </c>
      <c r="Y14" s="37">
        <f>CORREL(résultats!$P7:$P58,résultats!AA7:AA58)</f>
        <v>0.59499336716027007</v>
      </c>
      <c r="Z14" s="37"/>
      <c r="AA14" s="37"/>
      <c r="AB14" s="37"/>
    </row>
    <row r="15" spans="1:28">
      <c r="A15" s="88"/>
      <c r="B15" s="12" t="s">
        <v>38</v>
      </c>
      <c r="C15" s="37">
        <f>CORREL(résultats!$Q7:$Q58,résultats!E7:E58)</f>
        <v>0.14749220175599001</v>
      </c>
      <c r="D15" s="37">
        <f>CORREL(résultats!$Q7:$Q58,résultats!F7:F58)</f>
        <v>0.55166719643468576</v>
      </c>
      <c r="E15" s="82">
        <f>CORREL(résultats!$Q7:$Q58,résultats!G7:G58)</f>
        <v>0.99070039149766098</v>
      </c>
      <c r="F15" s="81">
        <f>CORREL(résultats!$Q7:$Q58,résultats!H7:H58)</f>
        <v>0.80010852865952031</v>
      </c>
      <c r="G15" s="81">
        <f>CORREL(résultats!$Q7:$Q58,résultats!I7:I58)</f>
        <v>0.99363301593311415</v>
      </c>
      <c r="H15" s="81">
        <f>CORREL(résultats!$Q7:$Q58,résultats!J7:J58)</f>
        <v>0.80648476454474494</v>
      </c>
      <c r="I15" s="105">
        <f>CORREL(résultats!$Q7:$Q58,résultats!K7:K58)</f>
        <v>-0.75043016628169379</v>
      </c>
      <c r="J15" s="37">
        <f>CORREL(résultats!$Q7:$Q58,résultats!L7:L58)</f>
        <v>-0.54136199414794828</v>
      </c>
      <c r="K15" s="82">
        <f>CORREL(résultats!$Q7:$Q58,résultats!M7:M58)</f>
        <v>0.98870948894592492</v>
      </c>
      <c r="L15" s="37">
        <f>CORREL(résultats!$Q7:$Q58,résultats!N7:N58)</f>
        <v>0.75890211597416768</v>
      </c>
      <c r="M15" s="82">
        <f>CORREL(résultats!$Q7:$Q58,résultats!O7:O58)</f>
        <v>0.92699460955635415</v>
      </c>
      <c r="N15" s="37">
        <f>CORREL(résultats!$Q7:$Q58,résultats!P7:P58)</f>
        <v>0.82726969317787213</v>
      </c>
      <c r="O15" s="38">
        <f>CORREL(résultats!$Q7:$Q58,résultats!Q7:Q58)</f>
        <v>0.99999999999999989</v>
      </c>
      <c r="P15" s="37">
        <f>CORREL(résultats!$Q7:$Q58,résultats!R7:R58)</f>
        <v>0.78239416132992468</v>
      </c>
      <c r="Q15" s="81">
        <f>CORREL(résultats!$Q7:$Q58,résultats!S7:S58)</f>
        <v>-0.71611197397063409</v>
      </c>
      <c r="R15" s="37">
        <f>CORREL(résultats!$Q7:$Q58,résultats!T7:T58)</f>
        <v>-0.5799564928483173</v>
      </c>
      <c r="S15" s="37">
        <f>CORREL(résultats!$Q7:$Q58,résultats!U7:U58)</f>
        <v>9.9811329690741621E-2</v>
      </c>
      <c r="T15" s="37">
        <f>CORREL(résultats!$Q7:$Q58,résultats!V7:V58)</f>
        <v>5.4320856099846016E-3</v>
      </c>
      <c r="U15" s="37">
        <f>CORREL(résultats!$Q7:$Q58,résultats!W7:W58)</f>
        <v>3.654658016271773E-2</v>
      </c>
      <c r="V15" s="37">
        <f>CORREL(résultats!$Q7:$Q58,résultats!X7:X58)</f>
        <v>0.77103183491324001</v>
      </c>
      <c r="W15" s="37">
        <f>CORREL(résultats!$Q7:$Q58,résultats!Y7:Y58)</f>
        <v>0.79595041960434532</v>
      </c>
      <c r="X15" s="37">
        <f>CORREL(résultats!$Q7:$Q58,résultats!Z7:Z58)</f>
        <v>0.70428513007046722</v>
      </c>
      <c r="Y15" s="37">
        <f>CORREL(résultats!$Q7:$Q58,résultats!AA7:AA58)</f>
        <v>0.67567310179231388</v>
      </c>
      <c r="Z15" s="37"/>
      <c r="AA15" s="37"/>
      <c r="AB15" s="37"/>
    </row>
    <row r="16" spans="1:28">
      <c r="A16" s="88"/>
      <c r="B16" s="12" t="s">
        <v>39</v>
      </c>
      <c r="C16" s="40">
        <f>CORREL(résultats!$R7:$R58,résultats!E7:E58)</f>
        <v>-0.21804825641543152</v>
      </c>
      <c r="D16" s="40">
        <f>CORREL(résultats!$R7:$R58,résultats!F7:F58)</f>
        <v>0.83489363871894884</v>
      </c>
      <c r="E16" s="40">
        <f>CORREL(résultats!$R7:$R58,résultats!G7:G58)</f>
        <v>0.81717903533617686</v>
      </c>
      <c r="F16" s="81">
        <f>CORREL(résultats!$R7:$R58,résultats!H7:H58)</f>
        <v>0.96876075362837444</v>
      </c>
      <c r="G16" s="40">
        <f>CORREL(résultats!$R7:$R58,résultats!I7:I58)</f>
        <v>0.75631548684135574</v>
      </c>
      <c r="H16" s="81">
        <f>CORREL(résultats!$R7:$R58,résultats!J7:J58)</f>
        <v>0.99717680315854862</v>
      </c>
      <c r="I16" s="40">
        <f>CORREL(résultats!$R7:$R58,résultats!K7:K58)</f>
        <v>-0.72365648861359666</v>
      </c>
      <c r="J16" s="40">
        <f>CORREL(résultats!$R7:$R58,résultats!L7:L58)</f>
        <v>-0.80876406793868627</v>
      </c>
      <c r="K16" s="40">
        <f>CORREL(résultats!$R7:$R58,résultats!M7:M58)</f>
        <v>0.83021845525421034</v>
      </c>
      <c r="L16" s="81">
        <f>CORREL(résultats!$R7:$R58,résultats!N7:N58)</f>
        <v>0.95757460590493859</v>
      </c>
      <c r="M16" s="40">
        <f>CORREL(résultats!$R7:$R58,résultats!O7:O58)</f>
        <v>0.80947599254304459</v>
      </c>
      <c r="N16" s="81">
        <f>CORREL(résultats!$R7:$R58,résultats!P7:P58)</f>
        <v>0.85244831244017383</v>
      </c>
      <c r="O16" s="40">
        <f>CORREL(résultats!$R7:$R58,résultats!Q7:Q58)</f>
        <v>0.78239416132992468</v>
      </c>
      <c r="P16" s="38">
        <f>CORREL(résultats!$R7:$R58,résultats!R7:R58)</f>
        <v>0.99999999999999989</v>
      </c>
      <c r="Q16" s="83">
        <f>CORREL(résultats!$R7:$R58,résultats!S7:S58)</f>
        <v>-0.62176697770437594</v>
      </c>
      <c r="R16" s="40">
        <f>CORREL(résultats!$R7:$R58,résultats!T7:T58)</f>
        <v>-0.50964134682047191</v>
      </c>
      <c r="S16" s="40">
        <f>CORREL(résultats!$R7:$R58,résultats!U7:U58)</f>
        <v>0.20724492933387148</v>
      </c>
      <c r="T16" s="40">
        <f>CORREL(résultats!$R7:$R58,résultats!V7:V58)</f>
        <v>0.123602188004397</v>
      </c>
      <c r="U16" s="40">
        <f>CORREL(résultats!$R7:$R58,résultats!W7:W58)</f>
        <v>-0.10181020273953688</v>
      </c>
      <c r="V16" s="40">
        <f>CORREL(résultats!$R7:$R58,résultats!X7:X58)</f>
        <v>0.72878015459800971</v>
      </c>
      <c r="W16" s="40">
        <f>CORREL(résultats!$R7:$R58,résultats!Y7:Y58)</f>
        <v>0.7485216459261087</v>
      </c>
      <c r="X16" s="40">
        <f>CORREL(résultats!$R7:$R58,résultats!Z7:Z58)</f>
        <v>0.62362969692123127</v>
      </c>
      <c r="Y16" s="40">
        <f>CORREL(résultats!$R7:$R58,résultats!AA7:AA58)</f>
        <v>0.60037109633598995</v>
      </c>
      <c r="Z16" s="40"/>
      <c r="AA16" s="40"/>
      <c r="AB16" s="40"/>
    </row>
    <row r="17" spans="1:28">
      <c r="A17" s="88"/>
      <c r="B17" s="52" t="s">
        <v>25</v>
      </c>
      <c r="C17" s="40">
        <f>CORREL(résultats!$S7:$S58,résultats!E7:E58)</f>
        <v>3.9426929054074369E-2</v>
      </c>
      <c r="D17" s="83">
        <f>CORREL(résultats!$S7:$S58,résultats!F7:F58)</f>
        <v>-0.44471845352931416</v>
      </c>
      <c r="E17" s="83">
        <f>CORREL(résultats!$S7:$S58,résultats!G7:G58)</f>
        <v>-0.75422117646355757</v>
      </c>
      <c r="F17" s="83">
        <f>CORREL(résultats!$S7:$S58,résultats!H7:H58)</f>
        <v>-0.65569047751826348</v>
      </c>
      <c r="G17" s="83">
        <f>CORREL(résultats!$S7:$S58,résultats!I7:I58)</f>
        <v>-0.73082720547527424</v>
      </c>
      <c r="H17" s="83">
        <f>CORREL(résultats!$S7:$S58,résultats!J7:J58)</f>
        <v>-0.65274640993427713</v>
      </c>
      <c r="I17" s="83">
        <f>CORREL(résultats!$S7:$S58,résultats!K7:K58)</f>
        <v>0.3330422190111762</v>
      </c>
      <c r="J17" s="83">
        <f>CORREL(résultats!$S7:$S58,résultats!L7:L58)</f>
        <v>0.25089921039702623</v>
      </c>
      <c r="K17" s="83">
        <f>CORREL(résultats!$S7:$S58,résultats!M7:M58)</f>
        <v>-0.73514695772878647</v>
      </c>
      <c r="L17" s="83">
        <f>CORREL(résultats!$S7:$S58,résultats!N7:N58)</f>
        <v>-0.59359015576225826</v>
      </c>
      <c r="M17" s="83">
        <f>CORREL(résultats!$S7:$S58,résultats!O7:O58)</f>
        <v>-0.81606346480631198</v>
      </c>
      <c r="N17" s="83">
        <f>CORREL(résultats!$S7:$S58,résultats!P7:P58)</f>
        <v>-0.67579406013065668</v>
      </c>
      <c r="O17" s="83">
        <f>CORREL(résultats!$S7:$S58,résultats!Q7:Q58)</f>
        <v>-0.71611197397063409</v>
      </c>
      <c r="P17" s="40">
        <f>CORREL(résultats!$S7:$S58,résultats!R7:R58)</f>
        <v>-0.62176697770437594</v>
      </c>
      <c r="Q17" s="38">
        <f>CORREL(résultats!$S7:$S58,résultats!S7:S58)</f>
        <v>0.99999999999999978</v>
      </c>
      <c r="R17" s="40">
        <f>CORREL(résultats!$S7:$S58,résultats!T7:T58)</f>
        <v>0.80453905111400725</v>
      </c>
      <c r="S17" s="40">
        <f>CORREL(résultats!$S7:$S58,résultats!U7:U58)</f>
        <v>0.34636076185327946</v>
      </c>
      <c r="T17" s="40">
        <f>CORREL(résultats!$S7:$S58,résultats!V7:V58)</f>
        <v>0.42477798664291355</v>
      </c>
      <c r="U17" s="40">
        <f>CORREL(résultats!$S7:$S58,résultats!W7:W58)</f>
        <v>-0.47536520633144014</v>
      </c>
      <c r="V17" s="40">
        <f>CORREL(résultats!$S7:$S58,résultats!X7:X58)</f>
        <v>-0.61732502910732701</v>
      </c>
      <c r="W17" s="40">
        <f>CORREL(résultats!$S7:$S58,résultats!Y7:Y58)</f>
        <v>-0.63198730723654128</v>
      </c>
      <c r="X17" s="40">
        <f>CORREL(résultats!$S7:$S58,résultats!Z7:Z58)</f>
        <v>-0.57277726344078483</v>
      </c>
      <c r="Y17" s="40">
        <f>CORREL(résultats!$S7:$S58,résultats!AA7:AA58)</f>
        <v>-0.5496253232908932</v>
      </c>
      <c r="Z17" s="40"/>
      <c r="AA17" s="40"/>
      <c r="AB17" s="40"/>
    </row>
    <row r="18" spans="1:28">
      <c r="A18" s="88"/>
      <c r="B18" s="52" t="s">
        <v>26</v>
      </c>
      <c r="C18" s="40">
        <f>CORREL(résultats!$T7:$T58,résultats!E7:E58)</f>
        <v>-2.6935126400945687E-2</v>
      </c>
      <c r="D18" s="40">
        <f>CORREL(résultats!$T7:$T58,résultats!F7:F58)</f>
        <v>-0.48294706522878805</v>
      </c>
      <c r="E18" s="40">
        <f>CORREL(résultats!$T7:$T58,résultats!G7:G58)</f>
        <v>-0.60157519684603933</v>
      </c>
      <c r="F18" s="40">
        <f>CORREL(résultats!$T7:$T58,résultats!H7:H58)</f>
        <v>-0.51795097234769383</v>
      </c>
      <c r="G18" s="40">
        <f>CORREL(résultats!$T7:$T58,résultats!I7:I58)</f>
        <v>-0.60006223522333435</v>
      </c>
      <c r="H18" s="40">
        <f>CORREL(résultats!$T7:$T58,résultats!J7:J58)</f>
        <v>-0.53773676589645714</v>
      </c>
      <c r="I18" s="40">
        <f>CORREL(résultats!$T7:$T58,résultats!K7:K58)</f>
        <v>0.27212933275866424</v>
      </c>
      <c r="J18" s="40">
        <f>CORREL(résultats!$T7:$T58,résultats!L7:L58)</f>
        <v>0.1868727543550015</v>
      </c>
      <c r="K18" s="40">
        <f>CORREL(résultats!$T7:$T58,résultats!M7:M58)</f>
        <v>-0.5871596263216845</v>
      </c>
      <c r="L18" s="40">
        <f>CORREL(résultats!$T7:$T58,résultats!N7:N58)</f>
        <v>-0.46836196932403151</v>
      </c>
      <c r="M18" s="40">
        <f>CORREL(résultats!$T7:$T58,résultats!O7:O58)</f>
        <v>-0.635363548401915</v>
      </c>
      <c r="N18" s="40">
        <f>CORREL(résultats!$T7:$T58,résultats!P7:P58)</f>
        <v>-0.58020384222175836</v>
      </c>
      <c r="O18" s="40">
        <f>CORREL(résultats!$T7:$T58,résultats!Q7:Q58)</f>
        <v>-0.5799564928483173</v>
      </c>
      <c r="P18" s="40">
        <f>CORREL(résultats!$T7:$T58,résultats!R7:R58)</f>
        <v>-0.50964134682047191</v>
      </c>
      <c r="Q18" s="40">
        <f>CORREL(résultats!$T7:$T58,résultats!S7:S58)</f>
        <v>0.80453905111400725</v>
      </c>
      <c r="R18" s="38">
        <f>CORREL(résultats!$T7:$T58,résultats!T7:T58)</f>
        <v>1</v>
      </c>
      <c r="S18" s="40">
        <f>CORREL(résultats!$T7:$T58,résultats!U7:U58)</f>
        <v>0.26318141879503049</v>
      </c>
      <c r="T18" s="40">
        <f>CORREL(résultats!$T7:$T58,résultats!V7:V58)</f>
        <v>0.25430070975469726</v>
      </c>
      <c r="U18" s="40">
        <f>CORREL(résultats!$T7:$T58,résultats!W7:W58)</f>
        <v>-0.36727915275097212</v>
      </c>
      <c r="V18" s="40">
        <f>CORREL(résultats!$T7:$T58,résultats!X7:X58)</f>
        <v>-0.48380787604042119</v>
      </c>
      <c r="W18" s="40">
        <f>CORREL(résultats!$T7:$T58,résultats!Y7:Y58)</f>
        <v>-0.49375835506458587</v>
      </c>
      <c r="X18" s="40">
        <f>CORREL(résultats!$T7:$T58,résultats!Z7:Z58)</f>
        <v>-0.42752496884352054</v>
      </c>
      <c r="Y18" s="40">
        <f>CORREL(résultats!$T7:$T58,résultats!AA7:AA58)</f>
        <v>-0.42311639056981176</v>
      </c>
      <c r="Z18" s="40"/>
      <c r="AA18" s="40"/>
      <c r="AB18" s="40"/>
    </row>
    <row r="19" spans="1:28">
      <c r="A19" s="88"/>
      <c r="B19" s="53" t="s">
        <v>40</v>
      </c>
      <c r="C19" s="40">
        <f>CORREL(résultats!$U7:$U58,résultats!E7:E58)</f>
        <v>-0.13641241448622962</v>
      </c>
      <c r="D19" s="40">
        <f>CORREL(résultats!$U7:$U58,résultats!F7:F58)</f>
        <v>0.16381678226034621</v>
      </c>
      <c r="E19" s="40">
        <f>CORREL(résultats!$U7:$U58,résultats!G7:G58)</f>
        <v>0.10087022822557777</v>
      </c>
      <c r="F19" s="40">
        <f>CORREL(résultats!$U7:$U58,résultats!H7:H58)</f>
        <v>0.18516693269993231</v>
      </c>
      <c r="G19" s="40">
        <f>CORREL(résultats!$U7:$U58,résultats!I7:I58)</f>
        <v>5.4784365915784498E-2</v>
      </c>
      <c r="H19" s="40">
        <f>CORREL(résultats!$U7:$U58,résultats!J7:J58)</f>
        <v>0.19050691126051436</v>
      </c>
      <c r="I19" s="40">
        <f>CORREL(résultats!$U7:$U58,résultats!K7:K58)</f>
        <v>-0.3493251807321977</v>
      </c>
      <c r="J19" s="40">
        <f>CORREL(résultats!$U7:$U58,résultats!L7:L58)</f>
        <v>-0.27276268104363366</v>
      </c>
      <c r="K19" s="40">
        <f>CORREL(résultats!$U7:$U58,résultats!M7:M58)</f>
        <v>0.12251374755421078</v>
      </c>
      <c r="L19" s="40">
        <f>CORREL(résultats!$U7:$U58,résultats!N7:N58)</f>
        <v>0.2208040514095414</v>
      </c>
      <c r="M19" s="40">
        <f>CORREL(résultats!$U7:$U58,résultats!O7:O58)</f>
        <v>4.2620076068084572E-2</v>
      </c>
      <c r="N19" s="40">
        <f>CORREL(résultats!$U7:$U58,résultats!P7:P58)</f>
        <v>0.15504339179628904</v>
      </c>
      <c r="O19" s="40">
        <f>CORREL(résultats!$U7:$U58,résultats!Q7:Q58)</f>
        <v>9.9811329690741621E-2</v>
      </c>
      <c r="P19" s="40">
        <f>CORREL(résultats!$U7:$U58,résultats!R7:R58)</f>
        <v>0.20724492933387148</v>
      </c>
      <c r="Q19" s="40">
        <f>CORREL(résultats!$U7:$U58,résultats!S7:S58)</f>
        <v>0.34636076185327946</v>
      </c>
      <c r="R19" s="40">
        <f>CORREL(résultats!$U7:$U58,résultats!T7:T58)</f>
        <v>0.26318141879503049</v>
      </c>
      <c r="S19" s="38">
        <f>CORREL(résultats!$U7:$U58,résultats!U7:U58)</f>
        <v>1.0000000000000002</v>
      </c>
      <c r="T19" s="40">
        <f>CORREL(résultats!$U7:$U58,résultats!V7:V58)</f>
        <v>0.86783603664762932</v>
      </c>
      <c r="U19" s="40">
        <f>CORREL(résultats!$U7:$U58,résultats!W7:W58)</f>
        <v>-0.96255900072334366</v>
      </c>
      <c r="V19" s="40">
        <f>CORREL(résultats!$U7:$U58,résultats!X7:X58)</f>
        <v>0.38542091338567025</v>
      </c>
      <c r="W19" s="40">
        <f>CORREL(résultats!$U7:$U58,résultats!Y7:Y58)</f>
        <v>0.39495691276821054</v>
      </c>
      <c r="X19" s="40">
        <f>CORREL(résultats!$U7:$U58,résultats!Z7:Z58)</f>
        <v>5.9173099874325688E-3</v>
      </c>
      <c r="Y19" s="40">
        <f>CORREL(résultats!$U7:$U58,résultats!AA7:AA58)</f>
        <v>1.7122081574503165E-2</v>
      </c>
      <c r="Z19" s="40"/>
      <c r="AA19" s="40"/>
      <c r="AB19" s="40"/>
    </row>
    <row r="20" spans="1:28">
      <c r="A20" s="88"/>
      <c r="B20" s="53" t="s">
        <v>41</v>
      </c>
      <c r="C20" s="40">
        <f>CORREL(résultats!$V7:$V58,résultats!E7:E58)</f>
        <v>-8.893766710074423E-2</v>
      </c>
      <c r="D20" s="40">
        <f>CORREL(résultats!$V7:$V58,résultats!F7:F58)</f>
        <v>0.1577661482108037</v>
      </c>
      <c r="E20" s="40">
        <f>CORREL(résultats!$V7:$V58,résultats!G7:G58)</f>
        <v>-2.4184586981077748E-3</v>
      </c>
      <c r="F20" s="40">
        <f>CORREL(résultats!$V7:$V58,résultats!H7:H58)</f>
        <v>8.273425262505571E-2</v>
      </c>
      <c r="G20" s="40">
        <f>CORREL(résultats!$V7:$V58,résultats!I7:I58)</f>
        <v>-2.8466217721790369E-2</v>
      </c>
      <c r="H20" s="40">
        <f>CORREL(résultats!$V7:$V58,résultats!J7:J58)</f>
        <v>0.10617724018243217</v>
      </c>
      <c r="I20" s="40">
        <f>CORREL(résultats!$V7:$V58,résultats!K7:K58)</f>
        <v>-0.24094920022649449</v>
      </c>
      <c r="J20" s="40">
        <f>CORREL(résultats!$V7:$V58,résultats!L7:L58)</f>
        <v>-0.24624179784389452</v>
      </c>
      <c r="K20" s="40">
        <f>CORREL(résultats!$V7:$V58,résultats!M7:M58)</f>
        <v>1.7311123951686918E-2</v>
      </c>
      <c r="L20" s="40">
        <f>CORREL(résultats!$V7:$V58,résultats!N7:N58)</f>
        <v>0.11525667897339825</v>
      </c>
      <c r="M20" s="40">
        <f>CORREL(résultats!$V7:$V58,résultats!O7:O58)</f>
        <v>-5.8957696698537933E-2</v>
      </c>
      <c r="N20" s="40">
        <f>CORREL(résultats!$V7:$V58,résultats!P7:P58)</f>
        <v>7.6421920420684755E-2</v>
      </c>
      <c r="O20" s="40">
        <f>CORREL(résultats!$V7:$V58,résultats!Q7:Q58)</f>
        <v>5.4320856099846016E-3</v>
      </c>
      <c r="P20" s="40">
        <f>CORREL(résultats!$V7:$V58,résultats!R7:R58)</f>
        <v>0.123602188004397</v>
      </c>
      <c r="Q20" s="40">
        <f>CORREL(résultats!$V7:$V58,résultats!S7:S58)</f>
        <v>0.42477798664291355</v>
      </c>
      <c r="R20" s="40">
        <f>CORREL(résultats!$V7:$V58,résultats!T7:T58)</f>
        <v>0.25430070975469726</v>
      </c>
      <c r="S20" s="40">
        <f>CORREL(résultats!$V7:$V58,résultats!U7:U58)</f>
        <v>0.86783603664762932</v>
      </c>
      <c r="T20" s="38">
        <f>CORREL(résultats!$V7:$V58,résultats!V7:V58)</f>
        <v>1</v>
      </c>
      <c r="U20" s="40">
        <f>CORREL(résultats!$V7:$V58,résultats!W7:W58)</f>
        <v>-0.84506121472038376</v>
      </c>
      <c r="V20" s="40">
        <f>CORREL(résultats!$V7:$V58,résultats!X7:X58)</f>
        <v>0.21078991617035145</v>
      </c>
      <c r="W20" s="40">
        <f>CORREL(résultats!$V7:$V58,résultats!Y7:Y58)</f>
        <v>0.221289745283717</v>
      </c>
      <c r="X20" s="40">
        <f>CORREL(résultats!$V7:$V58,résultats!Z7:Z58)</f>
        <v>-6.4273784077563623E-2</v>
      </c>
      <c r="Y20" s="40">
        <f>CORREL(résultats!$V7:$V58,résultats!AA7:AA58)</f>
        <v>-3.7040094316336189E-2</v>
      </c>
      <c r="Z20" s="40"/>
      <c r="AA20" s="40"/>
      <c r="AB20" s="40"/>
    </row>
    <row r="21" spans="1:28">
      <c r="A21" s="88"/>
      <c r="B21" s="53" t="s">
        <v>33</v>
      </c>
      <c r="C21" s="40">
        <f>CORREL(résultats!$W7:$W58,résultats!E7:E58)</f>
        <v>0.12154496454603132</v>
      </c>
      <c r="D21" s="40">
        <f>CORREL(résultats!$W7:$W58,résultats!F7:F58)</f>
        <v>-9.9173715639677085E-2</v>
      </c>
      <c r="E21" s="40">
        <f>CORREL(résultats!$W7:$W58,résultats!G7:G58)</f>
        <v>4.1303416319551811E-2</v>
      </c>
      <c r="F21" s="40">
        <f>CORREL(résultats!$W7:$W58,résultats!H7:H58)</f>
        <v>-7.1427443372805266E-2</v>
      </c>
      <c r="G21" s="40">
        <f>CORREL(résultats!$W7:$W58,résultats!I7:I58)</f>
        <v>8.0809026271778897E-2</v>
      </c>
      <c r="H21" s="40">
        <f>CORREL(résultats!$W7:$W58,résultats!J7:J58)</f>
        <v>-7.9205407496232047E-2</v>
      </c>
      <c r="I21" s="40">
        <f>CORREL(résultats!$W7:$W58,résultats!K7:K58)</f>
        <v>0.25913460701920354</v>
      </c>
      <c r="J21" s="40">
        <f>CORREL(résultats!$W7:$W58,résultats!L7:L58)</f>
        <v>0.2420650948338503</v>
      </c>
      <c r="K21" s="40">
        <f>CORREL(résultats!$W7:$W58,résultats!M7:M58)</f>
        <v>1.7618629210744672E-2</v>
      </c>
      <c r="L21" s="40">
        <f>CORREL(résultats!$W7:$W58,résultats!N7:N58)</f>
        <v>-0.11445869851597147</v>
      </c>
      <c r="M21" s="40">
        <f>CORREL(résultats!$W7:$W58,résultats!O7:O58)</f>
        <v>0.10424539078353723</v>
      </c>
      <c r="N21" s="40">
        <f>CORREL(résultats!$W7:$W58,résultats!P7:P58)</f>
        <v>-4.0367288966478204E-2</v>
      </c>
      <c r="O21" s="40">
        <f>CORREL(résultats!$W7:$W58,résultats!Q7:Q58)</f>
        <v>3.654658016271773E-2</v>
      </c>
      <c r="P21" s="40">
        <f>CORREL(résultats!$W7:$W58,résultats!R7:R58)</f>
        <v>-0.10181020273953688</v>
      </c>
      <c r="Q21" s="40">
        <f>CORREL(résultats!$W7:$W58,résultats!S7:S58)</f>
        <v>-0.47536520633144014</v>
      </c>
      <c r="R21" s="40">
        <f>CORREL(résultats!$W7:$W58,résultats!T7:T58)</f>
        <v>-0.36727915275097212</v>
      </c>
      <c r="S21" s="40">
        <f>CORREL(résultats!$W7:$W58,résultats!U7:U58)</f>
        <v>-0.96255900072334366</v>
      </c>
      <c r="T21" s="40">
        <f>CORREL(résultats!$W7:$W58,résultats!V7:V58)</f>
        <v>-0.84506121472038376</v>
      </c>
      <c r="U21" s="38">
        <f>CORREL(résultats!$W7:$W58,résultats!W7:W58)</f>
        <v>1</v>
      </c>
      <c r="V21" s="40">
        <f>CORREL(résultats!$W7:$W58,résultats!X7:X58)</f>
        <v>-0.2966198889920163</v>
      </c>
      <c r="W21" s="40">
        <f>CORREL(résultats!$W7:$W58,résultats!Y7:Y58)</f>
        <v>-0.29345587236396681</v>
      </c>
      <c r="X21" s="40">
        <f>CORREL(résultats!$W7:$W58,résultats!Z7:Z58)</f>
        <v>9.9076017236646607E-2</v>
      </c>
      <c r="Y21" s="40">
        <f>CORREL(résultats!$W7:$W58,résultats!AA7:AA58)</f>
        <v>8.4867494931994719E-2</v>
      </c>
      <c r="Z21" s="40"/>
      <c r="AA21" s="40"/>
      <c r="AB21" s="40"/>
    </row>
    <row r="22" spans="1:28">
      <c r="A22" s="88"/>
      <c r="B22" s="54" t="s">
        <v>35</v>
      </c>
      <c r="C22" s="55">
        <f>CORREL(résultats!$X7:$X58,résultats!E7:E58)</f>
        <v>-0.10800994658944216</v>
      </c>
      <c r="D22" s="55">
        <f>CORREL(résultats!$X7:$X58,résultats!F7:F58)</f>
        <v>0.51053681727438216</v>
      </c>
      <c r="E22" s="55">
        <f>CORREL(résultats!$X7:$X58,résultats!G7:G58)</f>
        <v>0.80119018783302998</v>
      </c>
      <c r="F22" s="55">
        <f>CORREL(résultats!$X7:$X58,résultats!H7:H58)</f>
        <v>0.73968447313533758</v>
      </c>
      <c r="G22" s="55">
        <f>CORREL(résultats!$X7:$X58,résultats!I7:I58)</f>
        <v>0.74706398299879628</v>
      </c>
      <c r="H22" s="55">
        <f>CORREL(résultats!$X7:$X58,résultats!J7:J58)</f>
        <v>0.73845190764164614</v>
      </c>
      <c r="I22" s="55">
        <f>CORREL(résultats!$X7:$X58,résultats!K7:K58)</f>
        <v>-0.6327184469096937</v>
      </c>
      <c r="J22" s="55">
        <f>CORREL(résultats!$X7:$X58,résultats!L7:L58)</f>
        <v>-0.46396775770211229</v>
      </c>
      <c r="K22" s="55">
        <f>CORREL(résultats!$X7:$X58,résultats!M7:M58)</f>
        <v>0.80293667814103264</v>
      </c>
      <c r="L22" s="55">
        <f>CORREL(résultats!$X7:$X58,résultats!N7:N58)</f>
        <v>0.71790559663562192</v>
      </c>
      <c r="M22" s="55">
        <f>CORREL(résultats!$X7:$X58,résultats!O7:O58)</f>
        <v>0.79358313201699004</v>
      </c>
      <c r="N22" s="55">
        <f>CORREL(résultats!$X7:$X58,résultats!P7:P58)</f>
        <v>0.72835124885379654</v>
      </c>
      <c r="O22" s="55">
        <f>CORREL(résultats!$X7:$X58,résultats!Q7:Q58)</f>
        <v>0.77103183491324001</v>
      </c>
      <c r="P22" s="55">
        <f>CORREL(résultats!$X7:$X58,résultats!R7:R58)</f>
        <v>0.72878015459800971</v>
      </c>
      <c r="Q22" s="55">
        <f>CORREL(résultats!$X7:$X58,résultats!S7:S58)</f>
        <v>-0.61732502910732701</v>
      </c>
      <c r="R22" s="55">
        <f>CORREL(résultats!$X7:$X58,résultats!T7:T58)</f>
        <v>-0.48380787604042119</v>
      </c>
      <c r="S22" s="55">
        <f>CORREL(résultats!$X7:$X58,résultats!U7:U58)</f>
        <v>0.38542091338567025</v>
      </c>
      <c r="T22" s="55">
        <f>CORREL(résultats!$X7:$X58,résultats!V7:V58)</f>
        <v>0.21078991617035145</v>
      </c>
      <c r="U22" s="55">
        <f>CORREL(résultats!$X7:$X58,résultats!W7:W58)</f>
        <v>-0.2966198889920163</v>
      </c>
      <c r="V22" s="56">
        <f>CORREL(résultats!$X7:$X58,résultats!X7:X58)</f>
        <v>0.99999999999999989</v>
      </c>
      <c r="W22" s="55">
        <f>CORREL(résultats!$X7:$X58,résultats!Y7:Y58)</f>
        <v>0.99507882561722971</v>
      </c>
      <c r="X22" s="55">
        <f>CORREL(résultats!$X7:$X58,résultats!Z7:Z58)</f>
        <v>0.51531199580447751</v>
      </c>
      <c r="Y22" s="55">
        <f>CORREL(résultats!$X7:$X58,résultats!AA7:AA58)</f>
        <v>0.49399742033438149</v>
      </c>
      <c r="Z22" s="55"/>
      <c r="AA22" s="55"/>
      <c r="AB22" s="55"/>
    </row>
    <row r="23" spans="1:28" ht="15.75" thickBot="1">
      <c r="A23" s="88"/>
      <c r="B23" s="57" t="s">
        <v>34</v>
      </c>
      <c r="C23" s="55">
        <f>CORREL(résultats!$Y7:$Y58,résultats!E7:E58)</f>
        <v>-0.12923020541363828</v>
      </c>
      <c r="D23" s="55">
        <f>CORREL(résultats!$Y7:$Y58,résultats!F7:F58)</f>
        <v>0.51916242677487912</v>
      </c>
      <c r="E23" s="55">
        <f>CORREL(résultats!$Y7:$Y58,résultats!G7:G58)</f>
        <v>0.82867525930156183</v>
      </c>
      <c r="F23" s="55">
        <f>CORREL(résultats!$Y7:$Y58,résultats!H7:H58)</f>
        <v>0.76592415152232274</v>
      </c>
      <c r="G23" s="55">
        <f>CORREL(résultats!$Y7:$Y58,résultats!I7:I58)</f>
        <v>0.77071124980046934</v>
      </c>
      <c r="H23" s="55">
        <f>CORREL(résultats!$Y7:$Y58,résultats!J7:J58)</f>
        <v>0.76134858696206498</v>
      </c>
      <c r="I23" s="55">
        <f>CORREL(résultats!$Y7:$Y58,résultats!K7:K58)</f>
        <v>-0.64714242543981226</v>
      </c>
      <c r="J23" s="55">
        <f>CORREL(résultats!$Y7:$Y58,résultats!L7:L58)</f>
        <v>-0.4760228426186488</v>
      </c>
      <c r="K23" s="55">
        <f>CORREL(résultats!$Y7:$Y58,résultats!M7:M58)</f>
        <v>0.83008818846891863</v>
      </c>
      <c r="L23" s="55">
        <f>CORREL(résultats!$Y7:$Y58,résultats!N7:N58)</f>
        <v>0.74054358832367206</v>
      </c>
      <c r="M23" s="55">
        <f>CORREL(résultats!$Y7:$Y58,résultats!O7:O58)</f>
        <v>0.82713737613208971</v>
      </c>
      <c r="N23" s="55">
        <f>CORREL(résultats!$Y7:$Y58,résultats!P7:P58)</f>
        <v>0.75614315279581823</v>
      </c>
      <c r="O23" s="55">
        <f>CORREL(résultats!$Y7:$Y58,résultats!Q7:Q58)</f>
        <v>0.79595041960434532</v>
      </c>
      <c r="P23" s="55">
        <f>CORREL(résultats!$Y7:$Y58,résultats!R7:R58)</f>
        <v>0.7485216459261087</v>
      </c>
      <c r="Q23" s="55">
        <f>CORREL(résultats!$Y7:$Y58,résultats!S7:S58)</f>
        <v>-0.63198730723654128</v>
      </c>
      <c r="R23" s="55">
        <f>CORREL(résultats!$Y7:$Y58,résultats!T7:T58)</f>
        <v>-0.49375835506458587</v>
      </c>
      <c r="S23" s="55">
        <f>CORREL(résultats!$Y7:$Y58,résultats!U7:U58)</f>
        <v>0.39495691276821054</v>
      </c>
      <c r="T23" s="55">
        <f>CORREL(résultats!$Y7:$Y58,résultats!V7:V58)</f>
        <v>0.221289745283717</v>
      </c>
      <c r="U23" s="55">
        <f>CORREL(résultats!$Y7:$Y58,résultats!W7:W58)</f>
        <v>-0.29345587236396681</v>
      </c>
      <c r="V23" s="55">
        <f>CORREL(résultats!$Y7:$Y58,résultats!X7:X58)</f>
        <v>0.99507882561722971</v>
      </c>
      <c r="W23" s="56">
        <f>CORREL(résultats!$Y7:$Y58,résultats!Y7:Y58)</f>
        <v>0.99999999999999978</v>
      </c>
      <c r="X23" s="55">
        <f>CORREL(résultats!$Y7:$Y58,résultats!Z7:Z58)</f>
        <v>0.54643194334861855</v>
      </c>
      <c r="Y23" s="55">
        <f>CORREL(résultats!$Y7:$Y58,résultats!AA7:AA58)</f>
        <v>0.52205229174776691</v>
      </c>
      <c r="Z23" s="55"/>
      <c r="AA23" s="55"/>
      <c r="AB23" s="55"/>
    </row>
    <row r="24" spans="1:28" ht="15.75" thickBot="1">
      <c r="A24" s="92"/>
      <c r="B24" s="58" t="s">
        <v>5</v>
      </c>
      <c r="C24" s="59">
        <f>CORREL(résultats!$Z7:$Z58,résultats!E7:E58)</f>
        <v>-0.28674502118373113</v>
      </c>
      <c r="D24" s="59">
        <f>CORREL(résultats!$Z7:$Z58,résultats!F7:F58)</f>
        <v>0.39289658740246952</v>
      </c>
      <c r="E24" s="107">
        <f>CORREL(résultats!$Z7:$Z58,résultats!G7:G58)</f>
        <v>0.74494944627645177</v>
      </c>
      <c r="F24" s="75">
        <f>CORREL(résultats!$Z7:$Z58,résultats!H7:H58)</f>
        <v>0.69707106524922735</v>
      </c>
      <c r="G24" s="75">
        <f>CORREL(résultats!$Z7:$Z58,résultats!I7:I58)</f>
        <v>0.67968590806856477</v>
      </c>
      <c r="H24" s="75">
        <f>CORREL(résultats!$Z7:$Z58,résultats!J7:J58)</f>
        <v>0.63896903439873887</v>
      </c>
      <c r="I24" s="108">
        <f>CORREL(résultats!$Z7:$Z58,résultats!K7:K58)</f>
        <v>-0.62415597409920254</v>
      </c>
      <c r="J24" s="73">
        <f>CORREL(résultats!$Z7:$Z58,résultats!L7:L58)</f>
        <v>-0.39193031430561998</v>
      </c>
      <c r="K24" s="80">
        <f>CORREL(résultats!$Z7:$Z58,résultats!M7:M58)</f>
        <v>0.75164615009279878</v>
      </c>
      <c r="L24" s="75">
        <f>CORREL(résultats!$Z7:$Z58,résultats!N7:N58)</f>
        <v>0.67727097537792724</v>
      </c>
      <c r="M24" s="80">
        <f>CORREL(résultats!$Z7:$Z58,résultats!O7:O58)</f>
        <v>0.76916678566264163</v>
      </c>
      <c r="N24" s="75">
        <f>CORREL(résultats!$Z7:$Z58,résultats!P7:P58)</f>
        <v>0.61476661452541836</v>
      </c>
      <c r="O24" s="107">
        <f>CORREL(résultats!$Z7:$Z58,résultats!Q7:Q58)</f>
        <v>0.70428513007046722</v>
      </c>
      <c r="P24" s="75">
        <f>CORREL(résultats!$Z7:$Z58,résultats!R7:R58)</f>
        <v>0.62362969692123127</v>
      </c>
      <c r="Q24" s="73">
        <f>CORREL(résultats!$Z7:$Z58,résultats!S7:S58)</f>
        <v>-0.57277726344078483</v>
      </c>
      <c r="R24" s="73">
        <f>CORREL(résultats!$Z7:$Z58,résultats!T7:T58)</f>
        <v>-0.42752496884352054</v>
      </c>
      <c r="S24" s="73">
        <f>CORREL(résultats!$Z7:$Z58,résultats!U7:U58)</f>
        <v>5.9173099874325688E-3</v>
      </c>
      <c r="T24" s="59">
        <f>CORREL(résultats!$Z7:$Z58,résultats!V7:V58)</f>
        <v>-6.4273784077563623E-2</v>
      </c>
      <c r="U24" s="59">
        <f>CORREL(résultats!$Z7:$Z58,résultats!W7:W58)</f>
        <v>9.9076017236646607E-2</v>
      </c>
      <c r="V24" s="59">
        <f>CORREL(résultats!$Z7:$Z58,résultats!X7:X58)</f>
        <v>0.51531199580447751</v>
      </c>
      <c r="W24" s="59">
        <f>CORREL(résultats!$Z7:$Z58,résultats!Y7:Y58)</f>
        <v>0.54643194334861855</v>
      </c>
      <c r="X24" s="60">
        <f>CORREL(résultats!$Z7:$Z58,résultats!Z7:Z58)</f>
        <v>1</v>
      </c>
      <c r="Y24" s="79">
        <f>CORREL(résultats!$Z7:$Z58,résultats!AA7:AA58)</f>
        <v>0.98940615290643374</v>
      </c>
      <c r="Z24" s="59"/>
      <c r="AA24" s="59"/>
      <c r="AB24" s="61"/>
    </row>
    <row r="25" spans="1:28" ht="15.75" thickBot="1">
      <c r="A25" s="92"/>
      <c r="B25" s="62" t="s">
        <v>6</v>
      </c>
      <c r="C25" s="63">
        <f>CORREL(résultats!$AA7:$AA58,résultats!E7:E58)</f>
        <v>-0.26216943128111153</v>
      </c>
      <c r="D25" s="63">
        <f>CORREL(résultats!$AA7:$AA58,résultats!F7:F58)</f>
        <v>0.4058574050412761</v>
      </c>
      <c r="E25" s="77">
        <f>CORREL(résultats!$AA7:$AA58,résultats!G7:G58)</f>
        <v>0.71295816873149942</v>
      </c>
      <c r="F25" s="76">
        <f>CORREL(résultats!$AA7:$AA58,résultats!H7:H58)</f>
        <v>0.66070283942826369</v>
      </c>
      <c r="G25" s="76">
        <f>CORREL(résultats!$AA7:$AA58,résultats!I7:I58)</f>
        <v>0.65422269132591226</v>
      </c>
      <c r="H25" s="76">
        <f>CORREL(résultats!$AA7:$AA58,résultats!J7:J58)</f>
        <v>0.61358036026257001</v>
      </c>
      <c r="I25" s="76">
        <f>CORREL(résultats!$AA7:$AA58,résultats!K7:K58)</f>
        <v>-0.60764461010078119</v>
      </c>
      <c r="J25" s="74">
        <f>CORREL(résultats!$AA7:$AA58,résultats!L7:L58)</f>
        <v>-0.37741283622775729</v>
      </c>
      <c r="K25" s="77">
        <f>CORREL(résultats!$AA7:$AA58,résultats!M7:M58)</f>
        <v>0.71994246475179791</v>
      </c>
      <c r="L25" s="76">
        <f>CORREL(résultats!$AA7:$AA58,résultats!N7:N58)</f>
        <v>0.64144128746727125</v>
      </c>
      <c r="M25" s="77">
        <f>CORREL(résultats!$AA7:$AA58,résultats!O7:O58)</f>
        <v>0.73002953468114196</v>
      </c>
      <c r="N25" s="74">
        <f>CORREL(résultats!$AA7:$AA58,résultats!P7:P58)</f>
        <v>0.59499336716027007</v>
      </c>
      <c r="O25" s="76">
        <f>CORREL(résultats!$AA7:$AA58,résultats!Q7:Q58)</f>
        <v>0.67567310179231388</v>
      </c>
      <c r="P25" s="76">
        <f>CORREL(résultats!$AA7:$AA58,résultats!R7:R58)</f>
        <v>0.60037109633598995</v>
      </c>
      <c r="Q25" s="74">
        <f>CORREL(résultats!$AA7:$AA58,résultats!S7:S58)</f>
        <v>-0.5496253232908932</v>
      </c>
      <c r="R25" s="74">
        <f>CORREL(résultats!$AA7:$AA58,résultats!T7:T58)</f>
        <v>-0.42311639056981176</v>
      </c>
      <c r="S25" s="74">
        <f>CORREL(résultats!$AA7:$AA58,résultats!U7:U58)</f>
        <v>1.7122081574503165E-2</v>
      </c>
      <c r="T25" s="63">
        <f>CORREL(résultats!$AA7:$AA58,résultats!V7:V58)</f>
        <v>-3.7040094316336189E-2</v>
      </c>
      <c r="U25" s="63">
        <f>CORREL(résultats!$AA7:$AA58,résultats!W7:W58)</f>
        <v>8.4867494931994719E-2</v>
      </c>
      <c r="V25" s="63">
        <f>CORREL(résultats!$AA7:$AA58,résultats!X7:X58)</f>
        <v>0.49399742033438149</v>
      </c>
      <c r="W25" s="63">
        <f>CORREL(résultats!$AA7:$AA58,résultats!Y7:Y58)</f>
        <v>0.52205229174776691</v>
      </c>
      <c r="X25" s="78">
        <f>CORREL(résultats!$AA7:$AA58,résultats!Z7:Z58)</f>
        <v>0.98940615290643374</v>
      </c>
      <c r="Y25" s="64">
        <f>CORREL(résultats!$AA7:$AA58,résultats!AA7:AA58)</f>
        <v>1.0000000000000002</v>
      </c>
      <c r="Z25" s="63"/>
      <c r="AA25" s="63"/>
      <c r="AB25" s="65"/>
    </row>
    <row r="26" spans="1:28">
      <c r="A26" s="88"/>
      <c r="B26" s="12" t="s">
        <v>12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38"/>
      <c r="AA26" s="40"/>
      <c r="AB26" s="40"/>
    </row>
    <row r="27" spans="1:28">
      <c r="A27" s="88"/>
      <c r="B27" s="41" t="s">
        <v>13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38"/>
      <c r="AB27" s="40"/>
    </row>
    <row r="28" spans="1:28">
      <c r="A28" s="88"/>
      <c r="B28" s="41" t="s">
        <v>14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38"/>
    </row>
    <row r="29" spans="1:28">
      <c r="A29" s="88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8">
      <c r="A30" s="88"/>
    </row>
    <row r="31" spans="1:28">
      <c r="A31" s="88"/>
    </row>
    <row r="32" spans="1:28">
      <c r="A32" s="88"/>
    </row>
    <row r="33" spans="1:1">
      <c r="A33" s="88"/>
    </row>
    <row r="34" spans="1:1">
      <c r="A34" s="88"/>
    </row>
    <row r="35" spans="1:1">
      <c r="A35" s="88"/>
    </row>
    <row r="36" spans="1:1">
      <c r="A36" s="88"/>
    </row>
    <row r="37" spans="1:1">
      <c r="A37" s="88"/>
    </row>
    <row r="38" spans="1:1">
      <c r="A38" s="88"/>
    </row>
    <row r="39" spans="1:1">
      <c r="A39" s="88"/>
    </row>
    <row r="40" spans="1:1">
      <c r="A40" s="88"/>
    </row>
    <row r="41" spans="1:1">
      <c r="A41" s="88"/>
    </row>
    <row r="42" spans="1:1">
      <c r="A42" s="88"/>
    </row>
    <row r="43" spans="1:1">
      <c r="A43" s="88"/>
    </row>
    <row r="44" spans="1:1">
      <c r="A44" s="88"/>
    </row>
    <row r="45" spans="1:1">
      <c r="A45" s="88"/>
    </row>
    <row r="46" spans="1:1">
      <c r="A46" s="88"/>
    </row>
    <row r="47" spans="1:1">
      <c r="A47" s="88"/>
    </row>
    <row r="48" spans="1:1">
      <c r="A48" s="88"/>
    </row>
    <row r="49" spans="1:1">
      <c r="A49" s="88"/>
    </row>
    <row r="50" spans="1:1">
      <c r="A50" s="88"/>
    </row>
    <row r="51" spans="1:1">
      <c r="A51" s="88"/>
    </row>
    <row r="52" spans="1:1">
      <c r="A52" s="88"/>
    </row>
    <row r="53" spans="1:1">
      <c r="A53" s="88"/>
    </row>
    <row r="54" spans="1:1">
      <c r="A54" s="88"/>
    </row>
    <row r="55" spans="1:1">
      <c r="A55" s="88"/>
    </row>
    <row r="56" spans="1:1">
      <c r="A56" s="88"/>
    </row>
    <row r="57" spans="1:1">
      <c r="A57" s="88"/>
    </row>
    <row r="58" spans="1:1">
      <c r="A58" s="88"/>
    </row>
    <row r="59" spans="1:1">
      <c r="A59" s="88"/>
    </row>
    <row r="60" spans="1:1">
      <c r="A60" s="88"/>
    </row>
    <row r="61" spans="1:1">
      <c r="A61" s="88"/>
    </row>
    <row r="62" spans="1:1">
      <c r="A62" s="88"/>
    </row>
    <row r="63" spans="1:1">
      <c r="A63" s="88"/>
    </row>
    <row r="64" spans="1:1">
      <c r="A64" s="88"/>
    </row>
    <row r="65" spans="1:1">
      <c r="A65" s="88"/>
    </row>
    <row r="66" spans="1:1">
      <c r="A66" s="88"/>
    </row>
    <row r="67" spans="1:1">
      <c r="A67" s="88"/>
    </row>
    <row r="68" spans="1:1">
      <c r="A68" s="88"/>
    </row>
    <row r="69" spans="1:1">
      <c r="A69" s="88"/>
    </row>
    <row r="70" spans="1:1">
      <c r="A70" s="88"/>
    </row>
    <row r="71" spans="1:1">
      <c r="A71" s="88"/>
    </row>
    <row r="72" spans="1:1">
      <c r="A72" s="88"/>
    </row>
    <row r="73" spans="1:1">
      <c r="A73" s="88"/>
    </row>
    <row r="74" spans="1:1">
      <c r="A74" s="88"/>
    </row>
    <row r="75" spans="1:1">
      <c r="A75" s="88"/>
    </row>
    <row r="76" spans="1:1">
      <c r="A76" s="88"/>
    </row>
    <row r="77" spans="1:1">
      <c r="A77" s="88"/>
    </row>
    <row r="78" spans="1:1">
      <c r="A78" s="88"/>
    </row>
    <row r="79" spans="1:1">
      <c r="A79" s="88"/>
    </row>
    <row r="80" spans="1:1">
      <c r="A80" s="88"/>
    </row>
    <row r="81" spans="1:1">
      <c r="A81" s="88"/>
    </row>
    <row r="82" spans="1:1">
      <c r="A82" s="88"/>
    </row>
    <row r="83" spans="1:1">
      <c r="A83" s="88"/>
    </row>
    <row r="84" spans="1:1">
      <c r="A84" s="88"/>
    </row>
    <row r="85" spans="1:1">
      <c r="A85" s="88"/>
    </row>
    <row r="86" spans="1:1">
      <c r="A86" s="88"/>
    </row>
    <row r="87" spans="1:1">
      <c r="A87" s="88"/>
    </row>
    <row r="88" spans="1:1">
      <c r="A88" s="88"/>
    </row>
    <row r="89" spans="1:1">
      <c r="A89" s="88"/>
    </row>
    <row r="90" spans="1:1">
      <c r="A90" s="88"/>
    </row>
    <row r="91" spans="1:1">
      <c r="A91" s="88"/>
    </row>
    <row r="92" spans="1:1">
      <c r="A92" s="88"/>
    </row>
    <row r="93" spans="1:1">
      <c r="A93" s="88"/>
    </row>
    <row r="94" spans="1:1">
      <c r="A94" s="88"/>
    </row>
    <row r="95" spans="1:1">
      <c r="A95" s="88"/>
    </row>
    <row r="96" spans="1:1">
      <c r="A96" s="88"/>
    </row>
    <row r="97" spans="1:1">
      <c r="A97" s="88"/>
    </row>
    <row r="98" spans="1:1">
      <c r="A98" s="88"/>
    </row>
    <row r="99" spans="1:1">
      <c r="A99" s="88"/>
    </row>
    <row r="100" spans="1:1">
      <c r="A100" s="88"/>
    </row>
    <row r="101" spans="1:1">
      <c r="A101" s="88"/>
    </row>
    <row r="102" spans="1:1">
      <c r="A102" s="88"/>
    </row>
    <row r="103" spans="1:1">
      <c r="A103" s="88"/>
    </row>
    <row r="104" spans="1:1">
      <c r="A104" s="88"/>
    </row>
    <row r="105" spans="1:1">
      <c r="A105" s="88"/>
    </row>
    <row r="106" spans="1:1">
      <c r="A106" s="88"/>
    </row>
    <row r="107" spans="1:1">
      <c r="A107" s="88"/>
    </row>
    <row r="108" spans="1:1">
      <c r="A108" s="88"/>
    </row>
    <row r="109" spans="1:1">
      <c r="A109" s="88"/>
    </row>
    <row r="110" spans="1:1">
      <c r="A110" s="88"/>
    </row>
    <row r="111" spans="1:1">
      <c r="A111" s="88"/>
    </row>
    <row r="112" spans="1:1">
      <c r="A112" s="88"/>
    </row>
    <row r="113" spans="1:1">
      <c r="A113" s="88"/>
    </row>
    <row r="114" spans="1:1">
      <c r="A114" s="88"/>
    </row>
    <row r="115" spans="1:1">
      <c r="A115" s="88"/>
    </row>
    <row r="116" spans="1:1">
      <c r="A116" s="88"/>
    </row>
    <row r="117" spans="1:1">
      <c r="A117" s="88"/>
    </row>
    <row r="118" spans="1:1">
      <c r="A118" s="88"/>
    </row>
    <row r="119" spans="1:1">
      <c r="A119" s="88"/>
    </row>
    <row r="120" spans="1:1">
      <c r="A120" s="88"/>
    </row>
    <row r="121" spans="1:1">
      <c r="A121" s="88"/>
    </row>
    <row r="122" spans="1:1">
      <c r="A122" s="88"/>
    </row>
    <row r="123" spans="1:1">
      <c r="A123" s="88"/>
    </row>
    <row r="124" spans="1:1">
      <c r="A124" s="88"/>
    </row>
    <row r="125" spans="1:1">
      <c r="A125" s="88"/>
    </row>
    <row r="126" spans="1:1">
      <c r="A126" s="88"/>
    </row>
    <row r="127" spans="1:1">
      <c r="A127" s="88"/>
    </row>
    <row r="128" spans="1:1">
      <c r="A128" s="88"/>
    </row>
    <row r="129" spans="1:1">
      <c r="A129" s="88"/>
    </row>
    <row r="130" spans="1:1">
      <c r="A130" s="88"/>
    </row>
    <row r="131" spans="1:1">
      <c r="A131" s="88"/>
    </row>
    <row r="132" spans="1:1">
      <c r="A132" s="88"/>
    </row>
    <row r="133" spans="1:1">
      <c r="A133" s="88"/>
    </row>
    <row r="134" spans="1:1">
      <c r="A134" s="88"/>
    </row>
    <row r="135" spans="1:1">
      <c r="A135" s="88"/>
    </row>
    <row r="136" spans="1:1">
      <c r="A136" s="88"/>
    </row>
    <row r="137" spans="1:1">
      <c r="A137" s="88"/>
    </row>
    <row r="138" spans="1:1">
      <c r="A138" s="88"/>
    </row>
    <row r="139" spans="1:1">
      <c r="A139" s="88"/>
    </row>
    <row r="140" spans="1:1">
      <c r="A140" s="88"/>
    </row>
    <row r="141" spans="1:1">
      <c r="A141" s="88"/>
    </row>
    <row r="142" spans="1:1">
      <c r="A142" s="88"/>
    </row>
    <row r="143" spans="1:1">
      <c r="A143" s="88"/>
    </row>
    <row r="144" spans="1:1">
      <c r="A144" s="88"/>
    </row>
    <row r="145" spans="1:1">
      <c r="A145" s="88"/>
    </row>
    <row r="146" spans="1:1">
      <c r="A146" s="88"/>
    </row>
    <row r="147" spans="1:1">
      <c r="A147" s="88"/>
    </row>
    <row r="148" spans="1:1">
      <c r="A148" s="88"/>
    </row>
    <row r="149" spans="1:1">
      <c r="A149" s="88"/>
    </row>
    <row r="150" spans="1:1">
      <c r="A150" s="88"/>
    </row>
    <row r="151" spans="1:1">
      <c r="A151" s="88"/>
    </row>
    <row r="152" spans="1:1">
      <c r="A152" s="88"/>
    </row>
    <row r="153" spans="1:1">
      <c r="A153" s="88"/>
    </row>
    <row r="154" spans="1:1">
      <c r="A154" s="88"/>
    </row>
    <row r="155" spans="1:1">
      <c r="A155" s="88"/>
    </row>
    <row r="156" spans="1:1">
      <c r="A156" s="88"/>
    </row>
    <row r="157" spans="1:1">
      <c r="A157" s="88"/>
    </row>
  </sheetData>
  <mergeCells count="1">
    <mergeCell ref="A1:A157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2"/>
  <sheetViews>
    <sheetView workbookViewId="0">
      <selection activeCell="I30" sqref="I30:I32"/>
    </sheetView>
  </sheetViews>
  <sheetFormatPr baseColWidth="10" defaultRowHeight="15"/>
  <cols>
    <col min="14" max="14" width="10.7109375" customWidth="1"/>
    <col min="19" max="19" width="10.28515625" customWidth="1"/>
    <col min="20" max="20" width="16.5703125" customWidth="1"/>
  </cols>
  <sheetData>
    <row r="1" spans="1:14" ht="18" customHeight="1">
      <c r="A1" s="100" t="s">
        <v>61</v>
      </c>
    </row>
    <row r="2" spans="1:14">
      <c r="A2" s="100"/>
      <c r="B2" s="26" t="s">
        <v>20</v>
      </c>
      <c r="C2" s="26" t="s">
        <v>64</v>
      </c>
      <c r="D2" s="26" t="s">
        <v>65</v>
      </c>
      <c r="G2" s="26" t="s">
        <v>20</v>
      </c>
      <c r="H2" s="26" t="s">
        <v>60</v>
      </c>
      <c r="I2" s="26" t="s">
        <v>65</v>
      </c>
      <c r="L2" s="26" t="s">
        <v>20</v>
      </c>
      <c r="M2" s="26" t="s">
        <v>60</v>
      </c>
      <c r="N2" s="26" t="s">
        <v>65</v>
      </c>
    </row>
    <row r="3" spans="1:14">
      <c r="A3" s="100"/>
      <c r="B3" s="13">
        <v>-1.0208451676372952</v>
      </c>
      <c r="C3" s="13">
        <v>-1.1964115126331716</v>
      </c>
      <c r="D3" s="67">
        <f xml:space="preserve"> 0.661*C3 + 0.9972</f>
        <v>0.20637199014947349</v>
      </c>
      <c r="G3" s="14">
        <v>-1.0208451676372952</v>
      </c>
      <c r="H3" s="14">
        <v>-1.4347715374859362</v>
      </c>
      <c r="I3" s="67">
        <f>0.3644*H3 - 0.0953</f>
        <v>-0.61813074825987524</v>
      </c>
      <c r="L3" s="71">
        <v>-1.0393220032506398</v>
      </c>
      <c r="M3" s="71">
        <v>-1.3112090231537477</v>
      </c>
      <c r="N3" s="67">
        <f xml:space="preserve"> 0.3461*M3 - 0.285</f>
        <v>-0.73880944291351214</v>
      </c>
    </row>
    <row r="4" spans="1:14">
      <c r="A4" s="100"/>
      <c r="B4" s="13">
        <v>-0.98389149641060569</v>
      </c>
      <c r="C4" s="13">
        <v>-3.1228240222507395</v>
      </c>
      <c r="D4" s="67">
        <f t="shared" ref="D4:D17" si="0" xml:space="preserve"> 0.661*C4 + 0.9972</f>
        <v>-1.0669866787077389</v>
      </c>
      <c r="G4" s="14">
        <v>-0.78064630466381391</v>
      </c>
      <c r="H4" s="14">
        <v>5.7796301936049455E-2</v>
      </c>
      <c r="I4" s="67">
        <f t="shared" ref="I4:I18" si="1">0.3644*H4 - 0.0953</f>
        <v>-7.4239027574503569E-2</v>
      </c>
      <c r="L4" s="71">
        <v>-1.0023683320239505</v>
      </c>
      <c r="M4" s="71">
        <v>-1.7048282824258552</v>
      </c>
      <c r="N4" s="67">
        <f t="shared" ref="N4:N23" si="2" xml:space="preserve"> 0.3461*M4 - 0.285</f>
        <v>-0.87504106854758845</v>
      </c>
    </row>
    <row r="5" spans="1:14">
      <c r="A5" s="100"/>
      <c r="B5" s="13">
        <v>-0.90998415395722687</v>
      </c>
      <c r="C5" s="13">
        <v>-2.2631898480022485</v>
      </c>
      <c r="D5" s="67">
        <f t="shared" si="0"/>
        <v>-0.49876848952948649</v>
      </c>
      <c r="G5" s="14">
        <v>-0.79912314027715858</v>
      </c>
      <c r="H5" s="14">
        <v>-0.76655892533258008</v>
      </c>
      <c r="I5" s="67">
        <f t="shared" si="1"/>
        <v>-0.37463407239119217</v>
      </c>
      <c r="L5" s="71">
        <v>-0.94693782518391634</v>
      </c>
      <c r="M5" s="71">
        <v>7.576933305252978E-2</v>
      </c>
      <c r="N5" s="67">
        <f t="shared" si="2"/>
        <v>-0.2587762338305194</v>
      </c>
    </row>
    <row r="6" spans="1:14">
      <c r="A6" s="100"/>
      <c r="B6" s="13">
        <v>-0.89150731834388219</v>
      </c>
      <c r="C6" s="13">
        <v>-2.270920333010559</v>
      </c>
      <c r="D6" s="67">
        <f t="shared" si="0"/>
        <v>-0.50387834011997967</v>
      </c>
      <c r="G6" s="14">
        <v>-0.61435478414371159</v>
      </c>
      <c r="H6" s="14">
        <v>-0.57406028850915225</v>
      </c>
      <c r="I6" s="67">
        <f t="shared" si="1"/>
        <v>-0.30448756913273511</v>
      </c>
      <c r="L6" s="71">
        <v>-0.83607681150384805</v>
      </c>
      <c r="M6" s="71">
        <v>3.3946148440451226E-2</v>
      </c>
      <c r="N6" s="67">
        <f t="shared" si="2"/>
        <v>-0.27325123802475981</v>
      </c>
    </row>
    <row r="7" spans="1:14">
      <c r="A7" s="100"/>
      <c r="B7" s="13">
        <v>-0.81759997589050337</v>
      </c>
      <c r="C7" s="13">
        <v>-2.587920739407739</v>
      </c>
      <c r="D7" s="67">
        <f t="shared" si="0"/>
        <v>-0.71341560874851562</v>
      </c>
      <c r="G7" s="14">
        <v>-0.55892427730367744</v>
      </c>
      <c r="H7" s="14">
        <v>-1.2691326901159001</v>
      </c>
      <c r="I7" s="67">
        <f t="shared" si="1"/>
        <v>-0.55777195227823406</v>
      </c>
      <c r="L7" s="71">
        <v>-0.76216946905046923</v>
      </c>
      <c r="M7" s="71">
        <v>1.2237000307950678</v>
      </c>
      <c r="N7" s="67">
        <f t="shared" si="2"/>
        <v>0.13852258065817302</v>
      </c>
    </row>
    <row r="8" spans="1:14">
      <c r="A8" s="100"/>
      <c r="B8" s="13">
        <v>-0.66978529098374573</v>
      </c>
      <c r="C8" s="13">
        <v>-2.7071268030598037</v>
      </c>
      <c r="D8" s="67">
        <f t="shared" si="0"/>
        <v>-0.79221081682253025</v>
      </c>
      <c r="G8" s="14">
        <v>-0.54044744169033276</v>
      </c>
      <c r="H8" s="14">
        <v>-2.1667199657997736</v>
      </c>
      <c r="I8" s="67">
        <f t="shared" si="1"/>
        <v>-0.88485275553743747</v>
      </c>
      <c r="L8" s="71">
        <v>-0.94693782518391634</v>
      </c>
      <c r="M8" s="71">
        <v>0.47717382879872994</v>
      </c>
      <c r="N8" s="67">
        <f t="shared" si="2"/>
        <v>-0.11985013785275953</v>
      </c>
    </row>
    <row r="9" spans="1:14">
      <c r="A9" s="100"/>
      <c r="B9" s="13">
        <v>-0.33720224994354092</v>
      </c>
      <c r="C9" s="13">
        <v>-2.703603834066469</v>
      </c>
      <c r="D9" s="67">
        <f t="shared" si="0"/>
        <v>-0.78988213431793619</v>
      </c>
      <c r="G9" s="14">
        <v>-0.33720224994354092</v>
      </c>
      <c r="H9" s="14">
        <v>-2.703603834066469</v>
      </c>
      <c r="I9" s="67">
        <f t="shared" si="1"/>
        <v>-1.0804932371338214</v>
      </c>
      <c r="L9" s="71">
        <v>-0.87303048273053752</v>
      </c>
      <c r="M9" s="71">
        <v>-2.7747849758525449</v>
      </c>
      <c r="N9" s="67">
        <f t="shared" si="2"/>
        <v>-1.2453530801425658</v>
      </c>
    </row>
    <row r="10" spans="1:14">
      <c r="A10" s="100"/>
      <c r="B10" s="13">
        <v>-0.28177174310350678</v>
      </c>
      <c r="C10" s="13">
        <v>-2.7250079946344092</v>
      </c>
      <c r="D10" s="67">
        <f t="shared" si="0"/>
        <v>-0.80403028445334457</v>
      </c>
      <c r="G10" s="14">
        <v>-0.39263275678357507</v>
      </c>
      <c r="H10" s="14">
        <v>-0.41418734863950035</v>
      </c>
      <c r="I10" s="67">
        <f t="shared" si="1"/>
        <v>-0.24622986984423392</v>
      </c>
      <c r="L10" s="71">
        <v>-0.76216946905046923</v>
      </c>
      <c r="M10" s="71">
        <v>-0.2314923180096454</v>
      </c>
      <c r="N10" s="67">
        <f t="shared" si="2"/>
        <v>-0.36511949126313825</v>
      </c>
    </row>
    <row r="11" spans="1:14">
      <c r="A11" s="100"/>
      <c r="B11" s="13">
        <v>-0.13395705819674913</v>
      </c>
      <c r="C11" s="13">
        <v>-1.6794511030772514</v>
      </c>
      <c r="D11" s="67">
        <f t="shared" si="0"/>
        <v>-0.11291717913406318</v>
      </c>
      <c r="G11" s="14">
        <v>-0.30024857871685151</v>
      </c>
      <c r="H11" s="14">
        <v>-0.12506667536456695</v>
      </c>
      <c r="I11" s="67">
        <f t="shared" si="1"/>
        <v>-0.14087429650284819</v>
      </c>
      <c r="L11" s="71">
        <v>-0.39263275678357507</v>
      </c>
      <c r="M11" s="71">
        <v>-0.60379103056129435</v>
      </c>
      <c r="N11" s="67">
        <f t="shared" si="2"/>
        <v>-0.49397207567726398</v>
      </c>
    </row>
    <row r="12" spans="1:14">
      <c r="A12" s="100"/>
      <c r="B12" s="13">
        <v>0.27253332529683444</v>
      </c>
      <c r="C12" s="13">
        <v>-1.6753570986367889</v>
      </c>
      <c r="D12" s="67">
        <f t="shared" si="0"/>
        <v>-0.11021104219891764</v>
      </c>
      <c r="G12" s="14">
        <v>3.2334462323353241E-2</v>
      </c>
      <c r="H12" s="14">
        <v>0.89764391493741769</v>
      </c>
      <c r="I12" s="67">
        <f t="shared" si="1"/>
        <v>0.23180144260319502</v>
      </c>
      <c r="L12" s="71">
        <v>-0.24249999999999999</v>
      </c>
      <c r="M12" s="71">
        <v>-0.46780871730769069</v>
      </c>
      <c r="N12" s="67">
        <f t="shared" si="2"/>
        <v>-0.4469085970601917</v>
      </c>
    </row>
    <row r="13" spans="1:14" ht="12.75" customHeight="1">
      <c r="A13" s="100"/>
      <c r="B13" s="13">
        <v>0.51273218827031564</v>
      </c>
      <c r="C13" s="13">
        <v>-0.38193885306914022</v>
      </c>
      <c r="D13" s="67">
        <f t="shared" si="0"/>
        <v>0.74473841812129826</v>
      </c>
      <c r="G13" s="14">
        <v>0.1431954760034215</v>
      </c>
      <c r="H13" s="14">
        <v>-0.11544190455874802</v>
      </c>
      <c r="I13" s="67">
        <f t="shared" si="1"/>
        <v>-0.13736703002120776</v>
      </c>
      <c r="L13" s="71">
        <v>-0.41110959239691974</v>
      </c>
      <c r="M13" s="71">
        <v>-1.5533018078117737</v>
      </c>
      <c r="N13" s="67">
        <f t="shared" si="2"/>
        <v>-0.82259775568365479</v>
      </c>
    </row>
    <row r="14" spans="1:14">
      <c r="A14" s="100"/>
      <c r="B14" s="13">
        <v>0.60511636633703925</v>
      </c>
      <c r="C14" s="13">
        <v>0.91688682420419843</v>
      </c>
      <c r="D14" s="67">
        <f t="shared" si="0"/>
        <v>1.6032621907989753</v>
      </c>
      <c r="G14" s="14">
        <v>0.56816269511034978</v>
      </c>
      <c r="H14" s="14">
        <v>-3.3097426201466218E-2</v>
      </c>
      <c r="I14" s="67">
        <f t="shared" si="1"/>
        <v>-0.10736070210781429</v>
      </c>
      <c r="L14" s="71">
        <v>-0.37415592117023033</v>
      </c>
      <c r="M14" s="71">
        <v>-0.82486064057186703</v>
      </c>
      <c r="N14" s="67">
        <f t="shared" si="2"/>
        <v>-0.57048426770192318</v>
      </c>
    </row>
    <row r="15" spans="1:14">
      <c r="A15" s="100"/>
      <c r="B15" s="13">
        <v>0.78988472247048624</v>
      </c>
      <c r="C15" s="13">
        <v>-6.1535451681828307E-2</v>
      </c>
      <c r="D15" s="67">
        <f t="shared" si="0"/>
        <v>0.95652506643831148</v>
      </c>
      <c r="G15" s="14">
        <v>0.71597738001710742</v>
      </c>
      <c r="H15" s="14">
        <v>3.9428128041432027</v>
      </c>
      <c r="I15" s="67">
        <f t="shared" si="1"/>
        <v>1.341460985829783</v>
      </c>
      <c r="L15" s="71">
        <v>-0.20786440065012796</v>
      </c>
      <c r="M15" s="71">
        <v>-1.8145745725824285</v>
      </c>
      <c r="N15" s="67">
        <f t="shared" si="2"/>
        <v>-0.91302425957077848</v>
      </c>
    </row>
    <row r="16" spans="1:14">
      <c r="A16" s="100"/>
      <c r="B16" s="13">
        <v>1.7137265031377218</v>
      </c>
      <c r="C16" s="13">
        <v>-0.3193778055755972</v>
      </c>
      <c r="D16" s="67">
        <f t="shared" si="0"/>
        <v>0.7860912705145302</v>
      </c>
      <c r="G16" s="14">
        <v>0.97465307860393335</v>
      </c>
      <c r="H16" s="14">
        <v>2.3689047755868664</v>
      </c>
      <c r="I16" s="67">
        <f t="shared" si="1"/>
        <v>0.76792890022385407</v>
      </c>
      <c r="L16" s="71">
        <v>-4.1572880130025594E-2</v>
      </c>
      <c r="M16" s="71">
        <v>3.5200409708840228</v>
      </c>
      <c r="N16" s="67">
        <f t="shared" si="2"/>
        <v>0.93328618002296038</v>
      </c>
    </row>
    <row r="17" spans="1:14">
      <c r="A17" s="100"/>
      <c r="B17" s="13">
        <v>2.9331976536184725</v>
      </c>
      <c r="C17" s="13">
        <v>1.3282425286181718</v>
      </c>
      <c r="D17" s="67">
        <f t="shared" si="0"/>
        <v>1.8751683114166116</v>
      </c>
      <c r="G17" s="14">
        <v>1.8061106812044452</v>
      </c>
      <c r="H17" s="14">
        <v>4.2143054591961402</v>
      </c>
      <c r="I17" s="67">
        <f t="shared" si="1"/>
        <v>1.4403929093310734</v>
      </c>
      <c r="L17" s="71">
        <v>0.21710281845680032</v>
      </c>
      <c r="M17" s="71">
        <v>2.2355927497957762</v>
      </c>
      <c r="N17" s="67">
        <f t="shared" si="2"/>
        <v>0.48873865070431816</v>
      </c>
    </row>
    <row r="18" spans="1:14">
      <c r="A18" s="100"/>
      <c r="B18" s="93" t="s">
        <v>55</v>
      </c>
      <c r="C18" s="94"/>
      <c r="D18" s="87">
        <f>CORREL(B3:B17,C3:C17)*100</f>
        <v>82.977436056530408</v>
      </c>
      <c r="G18" s="14">
        <v>2.6006146125782679</v>
      </c>
      <c r="H18" s="14">
        <v>6.412433899625249</v>
      </c>
      <c r="I18" s="67">
        <f t="shared" si="1"/>
        <v>2.2413909130234408</v>
      </c>
      <c r="L18" s="71">
        <v>0.32796383213686858</v>
      </c>
      <c r="M18" s="71">
        <v>0.81238472547239871</v>
      </c>
      <c r="N18" s="67">
        <f t="shared" si="2"/>
        <v>-3.8336465140027531E-3</v>
      </c>
    </row>
    <row r="19" spans="1:14">
      <c r="A19" s="100"/>
      <c r="G19" s="93" t="s">
        <v>56</v>
      </c>
      <c r="H19" s="94"/>
      <c r="I19" s="87">
        <f>CORREL(H3:H18,G3:G18)*100</f>
        <v>89.943067104292993</v>
      </c>
      <c r="L19" s="71">
        <v>0.56816269511034978</v>
      </c>
      <c r="M19" s="71">
        <v>1.1704609089822233</v>
      </c>
      <c r="N19" s="67">
        <f t="shared" si="2"/>
        <v>0.12009652059874754</v>
      </c>
    </row>
    <row r="20" spans="1:14">
      <c r="A20" s="100"/>
      <c r="L20" s="71">
        <v>0.80836155808383103</v>
      </c>
      <c r="M20" s="71">
        <v>0.89337861273305674</v>
      </c>
      <c r="N20" s="67">
        <f t="shared" si="2"/>
        <v>2.4198337866911002E-2</v>
      </c>
    </row>
    <row r="21" spans="1:14">
      <c r="A21" s="100"/>
      <c r="L21" s="71">
        <v>1.2333287771907593</v>
      </c>
      <c r="M21" s="71">
        <v>3.6025829682562751</v>
      </c>
      <c r="N21" s="67">
        <f t="shared" si="2"/>
        <v>0.96185396531349698</v>
      </c>
    </row>
    <row r="22" spans="1:14">
      <c r="A22" s="100"/>
      <c r="L22" s="71">
        <v>1.3072361196441382</v>
      </c>
      <c r="M22" s="71">
        <v>3.0392661899999638</v>
      </c>
      <c r="N22" s="67">
        <f t="shared" si="2"/>
        <v>0.76689002835898767</v>
      </c>
    </row>
    <row r="23" spans="1:14">
      <c r="A23" s="100"/>
      <c r="L23" s="71">
        <v>2.45279992767151</v>
      </c>
      <c r="M23" s="71">
        <v>5.9347783808811414</v>
      </c>
      <c r="N23" s="67">
        <f t="shared" si="2"/>
        <v>1.7690267976229632</v>
      </c>
    </row>
    <row r="24" spans="1:14">
      <c r="A24" s="100"/>
      <c r="L24" s="93" t="s">
        <v>57</v>
      </c>
      <c r="M24" s="94"/>
      <c r="N24" s="87">
        <f>CORREL(M3:M23,L3:L23)*100</f>
        <v>79.957074117061268</v>
      </c>
    </row>
    <row r="25" spans="1:14" ht="15" customHeight="1">
      <c r="A25" s="100"/>
    </row>
    <row r="26" spans="1:14" ht="18.75">
      <c r="A26" s="29"/>
      <c r="B26" s="101" t="s">
        <v>62</v>
      </c>
      <c r="C26" s="101"/>
      <c r="D26" s="101"/>
      <c r="E26" s="101"/>
      <c r="F26" s="101"/>
      <c r="G26" s="101"/>
      <c r="H26" s="101"/>
    </row>
    <row r="28" spans="1:14">
      <c r="B28" s="102" t="s">
        <v>23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</row>
    <row r="29" spans="1:14">
      <c r="B29" s="30" t="s">
        <v>15</v>
      </c>
      <c r="C29" s="30" t="s">
        <v>16</v>
      </c>
      <c r="D29" s="30" t="s">
        <v>17</v>
      </c>
      <c r="E29" s="39"/>
      <c r="F29" s="39"/>
      <c r="G29" s="39"/>
      <c r="H29" s="48" t="s">
        <v>69</v>
      </c>
      <c r="I29" s="48" t="s">
        <v>21</v>
      </c>
      <c r="J29" s="39"/>
      <c r="K29" s="19"/>
    </row>
    <row r="30" spans="1:14">
      <c r="A30" s="8" t="s">
        <v>54</v>
      </c>
      <c r="B30">
        <v>-0.70579999999999998</v>
      </c>
      <c r="C30" s="37">
        <v>0.38250000000000001</v>
      </c>
      <c r="D30" s="39">
        <v>0.59630000000000005</v>
      </c>
      <c r="E30" s="39"/>
      <c r="F30" s="39"/>
      <c r="G30" s="39"/>
      <c r="H30" s="45">
        <f>D30/SUM(D30:D32)</f>
        <v>0.90871685461749474</v>
      </c>
      <c r="I30" s="84">
        <f>H30*D38</f>
        <v>80.72737630803617</v>
      </c>
      <c r="J30" s="39"/>
      <c r="K30" s="19"/>
    </row>
    <row r="31" spans="1:14">
      <c r="A31" s="8" t="s">
        <v>70</v>
      </c>
      <c r="B31">
        <v>3.5000000000000001E-3</v>
      </c>
      <c r="C31" s="37">
        <v>0.84360000000000002</v>
      </c>
      <c r="D31" s="37">
        <v>-0.53690000000000004</v>
      </c>
      <c r="E31" s="39"/>
      <c r="F31" s="39"/>
      <c r="G31" s="39"/>
      <c r="H31" s="49">
        <f>D31/SUM(D30:D32)</f>
        <v>-0.81819567205120391</v>
      </c>
      <c r="I31" s="85">
        <f>H31*D38</f>
        <v>-72.685776186122112</v>
      </c>
      <c r="J31" s="39"/>
      <c r="K31" s="44"/>
    </row>
    <row r="32" spans="1:14">
      <c r="A32" s="8" t="s">
        <v>38</v>
      </c>
      <c r="B32">
        <v>0.70840000000000003</v>
      </c>
      <c r="C32" s="37">
        <v>0.37690000000000001</v>
      </c>
      <c r="D32" s="37">
        <v>0.5968</v>
      </c>
      <c r="E32" s="39"/>
      <c r="F32" s="39"/>
      <c r="G32" s="39"/>
      <c r="H32" s="45">
        <f>D32/SUM(D30:D32)</f>
        <v>0.90947881743370917</v>
      </c>
      <c r="I32" s="84">
        <f>H32*D38</f>
        <v>80.795066544752601</v>
      </c>
      <c r="J32" s="39"/>
      <c r="K32" s="28"/>
    </row>
    <row r="33" spans="1:19">
      <c r="A33" s="8"/>
      <c r="B33" s="39"/>
      <c r="C33" s="39"/>
      <c r="D33" s="39"/>
      <c r="E33" s="39"/>
      <c r="F33" s="39"/>
      <c r="G33" s="39"/>
      <c r="H33" s="39"/>
      <c r="I33" s="39"/>
      <c r="J33" s="39"/>
      <c r="K33" s="28"/>
    </row>
    <row r="34" spans="1:19">
      <c r="A34" s="30"/>
      <c r="B34" s="16"/>
      <c r="C34" s="37"/>
      <c r="D34" s="37"/>
      <c r="E34" s="37"/>
      <c r="F34" s="37"/>
      <c r="G34" s="37"/>
      <c r="H34" s="45"/>
      <c r="I34" s="45"/>
      <c r="J34" s="37"/>
      <c r="K34" s="34"/>
    </row>
    <row r="35" spans="1:19">
      <c r="A35" s="12"/>
      <c r="B35" s="99" t="s">
        <v>45</v>
      </c>
      <c r="C35" s="99"/>
      <c r="D35" s="99"/>
      <c r="E35" s="99"/>
      <c r="F35" s="99"/>
      <c r="G35" s="37"/>
      <c r="H35" s="37"/>
      <c r="I35" s="37"/>
      <c r="J35" s="39"/>
      <c r="K35" s="34"/>
      <c r="L35" s="34"/>
      <c r="M35" s="34"/>
    </row>
    <row r="36" spans="1:19">
      <c r="A36" s="12"/>
      <c r="C36" s="43"/>
      <c r="D36" s="45"/>
      <c r="E36" s="45"/>
      <c r="F36" s="45"/>
      <c r="G36" s="37"/>
      <c r="H36" s="37"/>
      <c r="I36" s="37"/>
      <c r="J36" s="39"/>
      <c r="K36" s="34"/>
      <c r="L36" s="34"/>
      <c r="M36" s="34"/>
    </row>
    <row r="37" spans="1:19">
      <c r="A37" s="12" t="s">
        <v>42</v>
      </c>
      <c r="B37">
        <v>9.2999999999999992E-3</v>
      </c>
      <c r="C37" s="42">
        <v>0.3256</v>
      </c>
      <c r="D37" s="45">
        <v>2.6650999999999998</v>
      </c>
      <c r="E37" s="45"/>
      <c r="F37" s="37"/>
      <c r="G37" s="37"/>
      <c r="H37" s="37"/>
      <c r="I37" s="37"/>
      <c r="J37" s="37"/>
      <c r="K37" s="28"/>
      <c r="L37" s="28"/>
      <c r="M37" s="28"/>
    </row>
    <row r="38" spans="1:19">
      <c r="A38" s="12" t="s">
        <v>43</v>
      </c>
      <c r="B38" s="21">
        <f>B37/SUM(B37:D37)*100</f>
        <v>0.31</v>
      </c>
      <c r="C38" s="86">
        <f>(C37/SUM(B37:D37))*100</f>
        <v>10.853333333333333</v>
      </c>
      <c r="D38" s="86">
        <f>D37/SUM(B37:D37)*100</f>
        <v>88.836666666666659</v>
      </c>
      <c r="E38" s="86"/>
      <c r="F38" s="20"/>
      <c r="G38" s="20"/>
      <c r="H38" s="33"/>
      <c r="I38" s="35"/>
      <c r="J38" s="28"/>
      <c r="K38" s="28"/>
      <c r="L38" s="28"/>
      <c r="M38" s="28"/>
    </row>
    <row r="39" spans="1:19">
      <c r="A39" s="12"/>
      <c r="B39" s="99" t="s">
        <v>46</v>
      </c>
      <c r="C39" s="99"/>
      <c r="D39" s="99"/>
      <c r="E39" s="99"/>
      <c r="F39" s="99"/>
      <c r="G39" s="20"/>
      <c r="H39" s="33"/>
      <c r="I39" s="35"/>
      <c r="J39" s="28"/>
      <c r="K39" s="28"/>
      <c r="L39" s="45"/>
      <c r="M39" s="45"/>
    </row>
    <row r="40" spans="1:19">
      <c r="A40" s="41"/>
      <c r="B40" s="21"/>
      <c r="C40" s="46"/>
      <c r="D40" s="47"/>
      <c r="E40" s="47"/>
      <c r="F40" s="47"/>
      <c r="G40" s="28"/>
      <c r="H40" s="28"/>
      <c r="I40" s="28"/>
      <c r="J40" s="28"/>
      <c r="K40" s="28"/>
      <c r="L40" s="45"/>
      <c r="M40" s="45"/>
    </row>
    <row r="41" spans="1:19">
      <c r="E41" s="15"/>
      <c r="F41" s="15"/>
      <c r="G41" s="15"/>
      <c r="H41" s="15"/>
      <c r="I41" s="15"/>
    </row>
    <row r="42" spans="1:19">
      <c r="E42" s="15"/>
      <c r="F42" s="15"/>
      <c r="G42" s="15"/>
      <c r="H42" s="15"/>
      <c r="I42" s="15"/>
    </row>
    <row r="43" spans="1:19">
      <c r="A43" s="99" t="s">
        <v>71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S43" s="21"/>
    </row>
    <row r="44" spans="1:19">
      <c r="D44" s="51"/>
      <c r="E44" s="51"/>
      <c r="F44" s="51"/>
      <c r="G44" s="51"/>
      <c r="H44" s="51"/>
      <c r="I44" s="51"/>
      <c r="J44" s="51"/>
      <c r="K44" s="51"/>
      <c r="L44" s="51"/>
      <c r="S44" s="21"/>
    </row>
    <row r="45" spans="1:19">
      <c r="D45" s="51"/>
      <c r="E45" s="51"/>
      <c r="F45" s="51"/>
      <c r="G45" s="51"/>
      <c r="H45" s="51"/>
      <c r="I45" s="51"/>
      <c r="J45" s="51"/>
      <c r="K45" s="51"/>
      <c r="L45" s="51"/>
      <c r="S45" s="21"/>
    </row>
    <row r="46" spans="1:19">
      <c r="B46" s="8"/>
      <c r="C46" s="8" t="s">
        <v>54</v>
      </c>
      <c r="D46" s="8" t="s">
        <v>70</v>
      </c>
      <c r="E46" s="8" t="s">
        <v>38</v>
      </c>
      <c r="F46" s="51"/>
      <c r="G46" s="51"/>
      <c r="S46" s="21"/>
    </row>
    <row r="47" spans="1:19">
      <c r="B47" s="8" t="s">
        <v>54</v>
      </c>
      <c r="C47" s="109">
        <v>1</v>
      </c>
      <c r="D47" s="105">
        <v>-0.74829999999999997</v>
      </c>
      <c r="E47" s="66">
        <v>0.99070000000000003</v>
      </c>
      <c r="F47" s="51"/>
      <c r="G47" s="51"/>
      <c r="S47" s="21"/>
    </row>
    <row r="48" spans="1:19">
      <c r="B48" s="8" t="s">
        <v>70</v>
      </c>
      <c r="C48" s="105">
        <v>-0.74829999999999997</v>
      </c>
      <c r="D48" s="109">
        <v>1</v>
      </c>
      <c r="E48" s="105">
        <v>-0.75039999999999996</v>
      </c>
      <c r="F48" s="51"/>
      <c r="G48" s="51"/>
      <c r="S48" s="21"/>
    </row>
    <row r="49" spans="2:19">
      <c r="B49" s="8" t="s">
        <v>38</v>
      </c>
      <c r="C49" s="66">
        <v>0.99070000000000003</v>
      </c>
      <c r="D49" s="105">
        <v>-0.75039999999999996</v>
      </c>
      <c r="E49" s="109">
        <v>1</v>
      </c>
      <c r="F49" s="51"/>
      <c r="G49" s="51"/>
      <c r="S49" s="21"/>
    </row>
    <row r="50" spans="2:19">
      <c r="B50" s="51"/>
      <c r="C50" s="51"/>
      <c r="D50" s="51"/>
      <c r="E50" s="51"/>
      <c r="F50" s="51"/>
      <c r="G50" s="51"/>
      <c r="S50" s="21"/>
    </row>
    <row r="51" spans="2:19">
      <c r="S51" s="21"/>
    </row>
    <row r="52" spans="2:19">
      <c r="B52" s="99" t="s">
        <v>44</v>
      </c>
      <c r="C52" s="99"/>
      <c r="D52" s="99"/>
      <c r="E52" s="99"/>
      <c r="F52" s="99"/>
      <c r="G52" s="99"/>
      <c r="S52" s="21"/>
    </row>
    <row r="53" spans="2:19">
      <c r="S53" s="21"/>
    </row>
    <row r="54" spans="2:19">
      <c r="F54" s="27"/>
      <c r="G54" s="27"/>
      <c r="S54" s="21"/>
    </row>
    <row r="55" spans="2:19">
      <c r="F55" s="28"/>
      <c r="G55" s="28"/>
      <c r="H55" s="28"/>
      <c r="S55" s="21"/>
    </row>
    <row r="56" spans="2:19">
      <c r="F56" s="28"/>
      <c r="G56" s="98" t="s">
        <v>63</v>
      </c>
      <c r="H56" s="98"/>
      <c r="I56" s="98"/>
      <c r="J56" s="98"/>
      <c r="K56" s="98"/>
      <c r="L56" s="98"/>
      <c r="M56" s="98"/>
      <c r="N56" s="98"/>
      <c r="O56" s="98"/>
      <c r="P56" s="98"/>
      <c r="S56" s="21"/>
    </row>
    <row r="57" spans="2:19">
      <c r="F57" s="28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7" t="s">
        <v>24</v>
      </c>
      <c r="R57" s="97"/>
      <c r="S57" s="97"/>
    </row>
    <row r="58" spans="2:19">
      <c r="F58" s="28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7" t="s">
        <v>22</v>
      </c>
      <c r="R58" s="97"/>
      <c r="S58" s="97"/>
    </row>
    <row r="59" spans="2:19">
      <c r="F59" s="28"/>
      <c r="G59" s="28"/>
      <c r="H59" s="28"/>
      <c r="I59" s="28"/>
      <c r="J59" s="28"/>
      <c r="K59" s="28"/>
      <c r="L59" s="28"/>
      <c r="M59" s="28"/>
      <c r="N59" s="27"/>
    </row>
    <row r="60" spans="2:19">
      <c r="F60" s="28"/>
      <c r="G60" s="28"/>
      <c r="H60" s="28"/>
      <c r="I60" s="28"/>
      <c r="J60" s="28"/>
      <c r="K60" s="28"/>
    </row>
    <row r="61" spans="2:19">
      <c r="F61" s="28"/>
      <c r="G61" s="28"/>
      <c r="H61" s="28"/>
      <c r="I61" s="28"/>
      <c r="J61" s="28"/>
      <c r="K61" s="28"/>
    </row>
    <row r="62" spans="2:19">
      <c r="F62" s="27"/>
      <c r="G62" s="27"/>
      <c r="J62" s="27"/>
      <c r="K62" s="27"/>
    </row>
  </sheetData>
  <mergeCells count="15">
    <mergeCell ref="B18:C18"/>
    <mergeCell ref="G19:H19"/>
    <mergeCell ref="L24:M24"/>
    <mergeCell ref="G57:P57"/>
    <mergeCell ref="G58:P58"/>
    <mergeCell ref="Q57:S57"/>
    <mergeCell ref="Q58:S58"/>
    <mergeCell ref="G56:P56"/>
    <mergeCell ref="B52:G52"/>
    <mergeCell ref="B35:F35"/>
    <mergeCell ref="B39:F39"/>
    <mergeCell ref="A43:O43"/>
    <mergeCell ref="A1:A25"/>
    <mergeCell ref="B26:H26"/>
    <mergeCell ref="B28:M28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M1"/>
  <sheetViews>
    <sheetView tabSelected="1" workbookViewId="0">
      <selection activeCell="L41" sqref="L41"/>
    </sheetView>
  </sheetViews>
  <sheetFormatPr baseColWidth="10" defaultRowHeight="15"/>
  <sheetData>
    <row r="1" spans="2:13" ht="33.75" customHeight="1">
      <c r="B1" s="103" t="s">
        <v>47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</sheetData>
  <mergeCells count="1">
    <mergeCell ref="B1:M1"/>
  </mergeCells>
  <phoneticPr fontId="1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C1:M2"/>
  <sheetViews>
    <sheetView workbookViewId="0">
      <selection activeCell="C3" sqref="C3"/>
    </sheetView>
  </sheetViews>
  <sheetFormatPr baseColWidth="10" defaultRowHeight="15"/>
  <sheetData>
    <row r="1" spans="3:13">
      <c r="C1" s="104" t="s">
        <v>68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3:13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</sheetData>
  <mergeCells count="1">
    <mergeCell ref="C1:M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M3"/>
  <sheetViews>
    <sheetView workbookViewId="0">
      <selection activeCell="B4" sqref="B4"/>
    </sheetView>
  </sheetViews>
  <sheetFormatPr baseColWidth="10" defaultRowHeight="15"/>
  <sheetData>
    <row r="2" spans="2:13">
      <c r="B2" s="104" t="s">
        <v>67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2:13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</sheetData>
  <mergeCells count="1">
    <mergeCell ref="B2:M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résultats</vt:lpstr>
      <vt:lpstr>reduite</vt:lpstr>
      <vt:lpstr>corr_matrix</vt:lpstr>
      <vt:lpstr>vbmax</vt:lpstr>
      <vt:lpstr>courbes_vb_cp</vt:lpstr>
      <vt:lpstr>forces</vt:lpstr>
      <vt:lpstr>angles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2012-06-19T11:09:46Z</dcterms:modified>
</cp:coreProperties>
</file>