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39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ml.chartshapes+xml"/>
  <Override PartName="/xl/charts/chart29.xml" ContentType="application/vnd.openxmlformats-officedocument.drawingml.chart+xml"/>
  <Override PartName="/xl/drawings/drawing26.xml" ContentType="application/vnd.openxmlformats-officedocument.drawing+xml"/>
  <Override PartName="/xl/drawings/drawing35.xml" ContentType="application/vnd.openxmlformats-officedocument.drawingml.chartshapes+xml"/>
  <Override PartName="/xl/worksheets/sheet3.xml" ContentType="application/vnd.openxmlformats-officedocument.spreadsheetml.worksheet+xml"/>
  <Override PartName="/xl/charts/chart18.xml" ContentType="application/vnd.openxmlformats-officedocument.drawingml.chart+xml"/>
  <Override PartName="/xl/drawings/drawing13.xml" ContentType="application/vnd.openxmlformats-officedocument.drawingml.chartshapes+xml"/>
  <Override PartName="/xl/charts/chart27.xml" ContentType="application/vnd.openxmlformats-officedocument.drawingml.chart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charts/chart36.xml" ContentType="application/vnd.openxmlformats-officedocument.drawingml.chart+xml"/>
  <Override PartName="/xl/drawings/drawing33.xml" ContentType="application/vnd.openxmlformats-officedocument.drawingml.chartshapes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drawings/drawing11.xml" ContentType="application/vnd.openxmlformats-officedocument.drawingml.chartshapes+xml"/>
  <Override PartName="/xl/charts/chart25.xml" ContentType="application/vnd.openxmlformats-officedocument.drawingml.chart+xml"/>
  <Override PartName="/xl/drawings/drawing20.xml" ContentType="application/vnd.openxmlformats-officedocument.drawingml.chartshapes+xml"/>
  <Override PartName="/xl/charts/chart34.xml" ContentType="application/vnd.openxmlformats-officedocument.drawingml.chart+xml"/>
  <Override PartName="/xl/drawings/drawing31.xml" ContentType="application/vnd.openxmlformats-officedocument.drawing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ml.chartshapes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29.xml" ContentType="application/vnd.openxmlformats-officedocument.drawingml.chartshapes+xml"/>
  <Override PartName="/xl/drawings/drawing38.xml" ContentType="application/vnd.openxmlformats-officedocument.drawingml.chartshapes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18.xml" ContentType="application/vnd.openxmlformats-officedocument.drawingml.chartshapes+xml"/>
  <Override PartName="/xl/drawings/drawing27.xml" ContentType="application/vnd.openxmlformats-officedocument.drawingml.chartshapes+xml"/>
  <Override PartName="/xl/drawings/drawing36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16.xml" ContentType="application/vnd.openxmlformats-officedocument.drawingml.chartshapes+xml"/>
  <Override PartName="/xl/drawings/drawing25.xml" ContentType="application/vnd.openxmlformats-officedocument.drawingml.chartshapes+xml"/>
  <Override PartName="/xl/drawings/drawing34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drawings/drawing14.xml" ContentType="application/vnd.openxmlformats-officedocument.drawingml.chartshapes+xml"/>
  <Override PartName="/xl/charts/chart28.xml" ContentType="application/vnd.openxmlformats-officedocument.drawingml.chart+xml"/>
  <Override PartName="/xl/drawings/drawing23.xml" ContentType="application/vnd.openxmlformats-officedocument.drawing+xml"/>
  <Override PartName="/xl/drawings/drawing32.xml" ContentType="application/vnd.openxmlformats-officedocument.drawingml.chartshapes+xml"/>
  <Override PartName="/xl/charts/chart37.xml" ContentType="application/vnd.openxmlformats-officedocument.drawingml.chart+xml"/>
  <Override PartName="/xl/charts/chart17.xml" ContentType="application/vnd.openxmlformats-officedocument.drawingml.chart+xml"/>
  <Override PartName="/xl/drawings/drawing12.xml" ContentType="application/vnd.openxmlformats-officedocument.drawingml.chartshapes+xml"/>
  <Override PartName="/xl/charts/chart26.xml" ContentType="application/vnd.openxmlformats-officedocument.drawingml.chart+xml"/>
  <Override PartName="/xl/drawings/drawing21.xml" ContentType="application/vnd.openxmlformats-officedocument.drawing+xml"/>
  <Override PartName="/xl/drawings/drawing30.xml" ContentType="application/vnd.openxmlformats-officedocument.drawingml.chartshapes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ml.chartshapes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ml.chartshapes+xml"/>
  <Override PartName="/xl/drawings/drawing1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9780" yWindow="-15" windowWidth="9825" windowHeight="8700" tabRatio="682" activeTab="4"/>
  </bookViews>
  <sheets>
    <sheet name="résultats" sheetId="1" r:id="rId1"/>
    <sheet name="reduite" sheetId="15" r:id="rId2"/>
    <sheet name="corr_matrix" sheetId="14" r:id="rId3"/>
    <sheet name="vbmax" sheetId="10" r:id="rId4"/>
    <sheet name="courbes_vb_cp" sheetId="13" r:id="rId5"/>
    <sheet name="R" sheetId="3" r:id="rId6"/>
    <sheet name="P" sheetId="19" r:id="rId7"/>
    <sheet name="N" sheetId="17" r:id="rId8"/>
    <sheet name="Fpn" sheetId="5" r:id="rId9"/>
    <sheet name="Fp" sheetId="18" r:id="rId10"/>
    <sheet name="Fs" sheetId="4" r:id="rId11"/>
    <sheet name="Fz" sheetId="6" r:id="rId12"/>
    <sheet name="beta" sheetId="7" r:id="rId13"/>
    <sheet name="EAA" sheetId="8" r:id="rId14"/>
  </sheets>
  <calcPr calcId="125725"/>
</workbook>
</file>

<file path=xl/calcChain.xml><?xml version="1.0" encoding="utf-8"?>
<calcChain xmlns="http://schemas.openxmlformats.org/spreadsheetml/2006/main">
  <c r="H57" i="10"/>
  <c r="D9"/>
  <c r="D10"/>
  <c r="S70"/>
  <c r="S68"/>
  <c r="S66"/>
  <c r="S64"/>
  <c r="S62"/>
  <c r="S61"/>
  <c r="S60"/>
  <c r="S58"/>
  <c r="M47"/>
  <c r="M33"/>
  <c r="M41"/>
  <c r="M29"/>
  <c r="M28"/>
  <c r="M27"/>
  <c r="H2"/>
  <c r="Q16"/>
  <c r="Q17"/>
  <c r="Q18"/>
  <c r="Q19"/>
  <c r="Q20"/>
  <c r="Q21"/>
  <c r="Q22"/>
  <c r="Q23"/>
  <c r="Q15"/>
  <c r="Q3"/>
  <c r="Q4"/>
  <c r="Q5"/>
  <c r="Q6"/>
  <c r="Q7"/>
  <c r="Q8"/>
  <c r="Q9"/>
  <c r="Q2"/>
  <c r="M42"/>
  <c r="M43"/>
  <c r="M44"/>
  <c r="M45"/>
  <c r="M31"/>
  <c r="M30"/>
  <c r="M16"/>
  <c r="M17"/>
  <c r="M18"/>
  <c r="M19"/>
  <c r="M20"/>
  <c r="M21"/>
  <c r="M15"/>
  <c r="M3"/>
  <c r="M4"/>
  <c r="M5"/>
  <c r="M6"/>
  <c r="M7"/>
  <c r="M8"/>
  <c r="M9"/>
  <c r="M10"/>
  <c r="M2"/>
  <c r="H42"/>
  <c r="H43"/>
  <c r="H44"/>
  <c r="H45"/>
  <c r="H46"/>
  <c r="H47"/>
  <c r="H48"/>
  <c r="H41"/>
  <c r="H28"/>
  <c r="H29"/>
  <c r="H30"/>
  <c r="H31"/>
  <c r="H32"/>
  <c r="H33"/>
  <c r="H27"/>
  <c r="H16"/>
  <c r="H17"/>
  <c r="H18"/>
  <c r="H19"/>
  <c r="H20"/>
  <c r="H21"/>
  <c r="H22"/>
  <c r="H15"/>
  <c r="H3"/>
  <c r="H4"/>
  <c r="H5"/>
  <c r="H6"/>
  <c r="H7"/>
  <c r="D42"/>
  <c r="D43"/>
  <c r="D44"/>
  <c r="D45"/>
  <c r="D46"/>
  <c r="D47"/>
  <c r="D48"/>
  <c r="D49"/>
  <c r="D50"/>
  <c r="D41"/>
  <c r="D28"/>
  <c r="D29"/>
  <c r="D30"/>
  <c r="D31"/>
  <c r="D32"/>
  <c r="D33"/>
  <c r="D34"/>
  <c r="D35"/>
  <c r="D36"/>
  <c r="D27"/>
  <c r="D16"/>
  <c r="D17"/>
  <c r="D18"/>
  <c r="D19"/>
  <c r="D20"/>
  <c r="D21"/>
  <c r="D22"/>
  <c r="D15"/>
  <c r="D3"/>
  <c r="D4"/>
  <c r="D5"/>
  <c r="D6"/>
  <c r="D7"/>
  <c r="D8"/>
  <c r="D2"/>
  <c r="Q25"/>
  <c r="Q11"/>
  <c r="M23"/>
  <c r="H50"/>
  <c r="H35"/>
  <c r="H10"/>
  <c r="AD21" i="15"/>
  <c r="D51" i="10"/>
  <c r="D24"/>
  <c r="D12"/>
  <c r="AD17" i="15"/>
  <c r="AD18"/>
  <c r="AD19"/>
  <c r="AD20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9"/>
  <c r="AD100"/>
  <c r="AD101"/>
  <c r="AD102"/>
  <c r="AD103"/>
  <c r="AD104"/>
  <c r="AD106"/>
  <c r="AD107"/>
  <c r="AD108"/>
  <c r="AD109"/>
  <c r="AD110"/>
  <c r="AD113"/>
  <c r="AD114"/>
  <c r="AD115"/>
  <c r="AD117"/>
  <c r="AD118"/>
  <c r="AD120"/>
  <c r="AD122"/>
  <c r="AD123"/>
  <c r="AD127"/>
  <c r="AD128"/>
  <c r="AD129"/>
  <c r="AD130"/>
  <c r="AD131"/>
  <c r="AD132"/>
  <c r="AD137"/>
  <c r="AD142"/>
  <c r="AD145"/>
  <c r="AD146"/>
  <c r="H59" i="10"/>
  <c r="H58"/>
  <c r="R8" i="14"/>
  <c r="W161" i="1"/>
  <c r="Q71" i="10"/>
  <c r="Q70"/>
  <c r="Q69"/>
  <c r="Q68"/>
  <c r="Q67"/>
  <c r="Q66"/>
  <c r="Q65"/>
  <c r="Q64"/>
  <c r="Q63"/>
  <c r="Q62"/>
  <c r="Q61"/>
  <c r="Q60"/>
  <c r="Q59"/>
  <c r="Q58"/>
  <c r="M11"/>
  <c r="D65"/>
  <c r="I57" s="1"/>
  <c r="C65"/>
  <c r="B65"/>
  <c r="D3" i="14"/>
  <c r="E3"/>
  <c r="F3"/>
  <c r="G3"/>
  <c r="H3"/>
  <c r="I3"/>
  <c r="J3"/>
  <c r="K3"/>
  <c r="L3"/>
  <c r="M3"/>
  <c r="N3"/>
  <c r="O3"/>
  <c r="P3"/>
  <c r="Q3"/>
  <c r="R3"/>
  <c r="S3"/>
  <c r="T3"/>
  <c r="U3"/>
  <c r="X3"/>
  <c r="Y3"/>
  <c r="Z3"/>
  <c r="AA3"/>
  <c r="AB3"/>
  <c r="D4"/>
  <c r="E4"/>
  <c r="F4"/>
  <c r="G4"/>
  <c r="H4"/>
  <c r="I4"/>
  <c r="J4"/>
  <c r="K4"/>
  <c r="L4"/>
  <c r="M4"/>
  <c r="N4"/>
  <c r="O4"/>
  <c r="P4"/>
  <c r="Q4"/>
  <c r="R4"/>
  <c r="S4"/>
  <c r="T4"/>
  <c r="U4"/>
  <c r="X4"/>
  <c r="Y4"/>
  <c r="Z4"/>
  <c r="AA4"/>
  <c r="AB4"/>
  <c r="D5"/>
  <c r="E5"/>
  <c r="F5"/>
  <c r="G5"/>
  <c r="H5"/>
  <c r="I5"/>
  <c r="J5"/>
  <c r="K5"/>
  <c r="L5"/>
  <c r="M5"/>
  <c r="N5"/>
  <c r="O5"/>
  <c r="P5"/>
  <c r="Q5"/>
  <c r="R5"/>
  <c r="S5"/>
  <c r="T5"/>
  <c r="U5"/>
  <c r="X5"/>
  <c r="Y5"/>
  <c r="Z5"/>
  <c r="AA5"/>
  <c r="AB5"/>
  <c r="D6"/>
  <c r="E6"/>
  <c r="F6"/>
  <c r="G6"/>
  <c r="H6"/>
  <c r="I6"/>
  <c r="J6"/>
  <c r="K6"/>
  <c r="L6"/>
  <c r="M6"/>
  <c r="N6"/>
  <c r="O6"/>
  <c r="P6"/>
  <c r="Q6"/>
  <c r="R6"/>
  <c r="S6"/>
  <c r="T6"/>
  <c r="U6"/>
  <c r="X6"/>
  <c r="Y6"/>
  <c r="Z6"/>
  <c r="AA6"/>
  <c r="AB6"/>
  <c r="D7"/>
  <c r="E7"/>
  <c r="F7"/>
  <c r="G7"/>
  <c r="H7"/>
  <c r="I7"/>
  <c r="J7"/>
  <c r="K7"/>
  <c r="L7"/>
  <c r="M7"/>
  <c r="N7"/>
  <c r="O7"/>
  <c r="P7"/>
  <c r="Q7"/>
  <c r="R7"/>
  <c r="S7"/>
  <c r="T7"/>
  <c r="U7"/>
  <c r="X7"/>
  <c r="Y7"/>
  <c r="Z7"/>
  <c r="AA7"/>
  <c r="AB7"/>
  <c r="D8"/>
  <c r="E8"/>
  <c r="F8"/>
  <c r="G8"/>
  <c r="H8"/>
  <c r="I8"/>
  <c r="J8"/>
  <c r="K8"/>
  <c r="L8"/>
  <c r="M8"/>
  <c r="N8"/>
  <c r="O8"/>
  <c r="P8"/>
  <c r="Q8"/>
  <c r="S8"/>
  <c r="T8"/>
  <c r="U8"/>
  <c r="X8"/>
  <c r="Y8"/>
  <c r="Z8"/>
  <c r="AA8"/>
  <c r="AB8"/>
  <c r="D9"/>
  <c r="E9"/>
  <c r="F9"/>
  <c r="G9"/>
  <c r="H9"/>
  <c r="I9"/>
  <c r="J9"/>
  <c r="K9"/>
  <c r="L9"/>
  <c r="M9"/>
  <c r="N9"/>
  <c r="O9"/>
  <c r="P9"/>
  <c r="Q9"/>
  <c r="R9"/>
  <c r="S9"/>
  <c r="T9"/>
  <c r="U9"/>
  <c r="X9"/>
  <c r="Y9"/>
  <c r="Z9"/>
  <c r="AA9"/>
  <c r="AB9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X10"/>
  <c r="Y10"/>
  <c r="Z10"/>
  <c r="AA10"/>
  <c r="AB10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X11"/>
  <c r="Y11"/>
  <c r="Z11"/>
  <c r="AA11"/>
  <c r="AB11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X12"/>
  <c r="Y12"/>
  <c r="Z12"/>
  <c r="AA12"/>
  <c r="AB12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X13"/>
  <c r="Y13"/>
  <c r="Z13"/>
  <c r="AA13"/>
  <c r="AB13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X14"/>
  <c r="Y14"/>
  <c r="Z14"/>
  <c r="AA14"/>
  <c r="AB14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X15"/>
  <c r="Y15"/>
  <c r="Z15"/>
  <c r="AA15"/>
  <c r="AB15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X16"/>
  <c r="Y16"/>
  <c r="Z16"/>
  <c r="AA16"/>
  <c r="AB16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X17"/>
  <c r="Y17"/>
  <c r="Z17"/>
  <c r="AA17"/>
  <c r="AB17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X18"/>
  <c r="Y18"/>
  <c r="Z18"/>
  <c r="AA18"/>
  <c r="AB18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X19"/>
  <c r="Y19"/>
  <c r="Z19"/>
  <c r="AA19"/>
  <c r="AB1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X20"/>
  <c r="Y20"/>
  <c r="Z20"/>
  <c r="AA20"/>
  <c r="AB2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X21"/>
  <c r="Y21"/>
  <c r="Z21"/>
  <c r="AA21"/>
  <c r="AB21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X24"/>
  <c r="Y24"/>
  <c r="Z24"/>
  <c r="AA24"/>
  <c r="AB24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X25"/>
  <c r="Y25"/>
  <c r="Z25"/>
  <c r="AA25"/>
  <c r="AB25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X26"/>
  <c r="Y26"/>
  <c r="Z26"/>
  <c r="AA26"/>
  <c r="AB26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X27"/>
  <c r="Y27"/>
  <c r="Z27"/>
  <c r="AA27"/>
  <c r="AB27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X28"/>
  <c r="Y28"/>
  <c r="Z28"/>
  <c r="AA28"/>
  <c r="AB28"/>
  <c r="C28"/>
  <c r="C27"/>
  <c r="C21"/>
  <c r="C20"/>
  <c r="C19"/>
  <c r="C26"/>
  <c r="C25"/>
  <c r="C24"/>
  <c r="C18"/>
  <c r="C17"/>
  <c r="C16"/>
  <c r="C15"/>
  <c r="C14"/>
  <c r="C13"/>
  <c r="C12"/>
  <c r="C11"/>
  <c r="C3"/>
  <c r="C10"/>
  <c r="C9"/>
  <c r="C8"/>
  <c r="C7"/>
  <c r="C6"/>
  <c r="C5"/>
  <c r="C4"/>
  <c r="N161" i="1"/>
  <c r="AA161"/>
  <c r="Z161"/>
  <c r="Z162" s="1"/>
  <c r="D44" i="15"/>
  <c r="D58" s="1"/>
  <c r="D72" s="1"/>
  <c r="D86" s="1"/>
  <c r="D100" s="1"/>
  <c r="D114" s="1"/>
  <c r="D128" s="1"/>
  <c r="D142" s="1"/>
  <c r="D156" s="1"/>
  <c r="D43"/>
  <c r="D57" s="1"/>
  <c r="D71" s="1"/>
  <c r="D85" s="1"/>
  <c r="D99" s="1"/>
  <c r="D113" s="1"/>
  <c r="D127" s="1"/>
  <c r="D141" s="1"/>
  <c r="D155" s="1"/>
  <c r="D42"/>
  <c r="D56" s="1"/>
  <c r="D70" s="1"/>
  <c r="D84" s="1"/>
  <c r="D98" s="1"/>
  <c r="D112" s="1"/>
  <c r="D126" s="1"/>
  <c r="D140" s="1"/>
  <c r="D154" s="1"/>
  <c r="D41"/>
  <c r="D55" s="1"/>
  <c r="D69" s="1"/>
  <c r="D83" s="1"/>
  <c r="D97" s="1"/>
  <c r="D111" s="1"/>
  <c r="D125" s="1"/>
  <c r="D139" s="1"/>
  <c r="D153" s="1"/>
  <c r="D40"/>
  <c r="D54" s="1"/>
  <c r="D68" s="1"/>
  <c r="D82" s="1"/>
  <c r="D96" s="1"/>
  <c r="D110" s="1"/>
  <c r="D124" s="1"/>
  <c r="D138" s="1"/>
  <c r="D152" s="1"/>
  <c r="D39"/>
  <c r="D53" s="1"/>
  <c r="D67" s="1"/>
  <c r="D81" s="1"/>
  <c r="D95" s="1"/>
  <c r="D109" s="1"/>
  <c r="D123" s="1"/>
  <c r="D137" s="1"/>
  <c r="D151" s="1"/>
  <c r="D38"/>
  <c r="D52" s="1"/>
  <c r="D66" s="1"/>
  <c r="D80" s="1"/>
  <c r="D94" s="1"/>
  <c r="D108" s="1"/>
  <c r="D122" s="1"/>
  <c r="D136" s="1"/>
  <c r="D150" s="1"/>
  <c r="D37"/>
  <c r="D51" s="1"/>
  <c r="D65" s="1"/>
  <c r="D79" s="1"/>
  <c r="D93" s="1"/>
  <c r="D107" s="1"/>
  <c r="D121" s="1"/>
  <c r="D135" s="1"/>
  <c r="D149" s="1"/>
  <c r="D36"/>
  <c r="D50" s="1"/>
  <c r="D64" s="1"/>
  <c r="D78" s="1"/>
  <c r="D92" s="1"/>
  <c r="D106" s="1"/>
  <c r="D120" s="1"/>
  <c r="D134" s="1"/>
  <c r="D148" s="1"/>
  <c r="D35"/>
  <c r="D49" s="1"/>
  <c r="D63" s="1"/>
  <c r="D77" s="1"/>
  <c r="D91" s="1"/>
  <c r="D105" s="1"/>
  <c r="D119" s="1"/>
  <c r="D133" s="1"/>
  <c r="D147" s="1"/>
  <c r="D34"/>
  <c r="D48" s="1"/>
  <c r="D62" s="1"/>
  <c r="D76" s="1"/>
  <c r="D90" s="1"/>
  <c r="D104" s="1"/>
  <c r="D118" s="1"/>
  <c r="D132" s="1"/>
  <c r="D146" s="1"/>
  <c r="D33"/>
  <c r="D47" s="1"/>
  <c r="D61" s="1"/>
  <c r="D75" s="1"/>
  <c r="D89" s="1"/>
  <c r="D103" s="1"/>
  <c r="D117" s="1"/>
  <c r="D131" s="1"/>
  <c r="D145" s="1"/>
  <c r="D32"/>
  <c r="D46" s="1"/>
  <c r="D60" s="1"/>
  <c r="D74" s="1"/>
  <c r="D88" s="1"/>
  <c r="D102" s="1"/>
  <c r="D116" s="1"/>
  <c r="D130" s="1"/>
  <c r="D144" s="1"/>
  <c r="D31"/>
  <c r="D45" s="1"/>
  <c r="D59" s="1"/>
  <c r="D73" s="1"/>
  <c r="D87" s="1"/>
  <c r="D101" s="1"/>
  <c r="D115" s="1"/>
  <c r="D129" s="1"/>
  <c r="D143" s="1"/>
  <c r="AG162" i="1"/>
  <c r="AF162"/>
  <c r="AF161"/>
  <c r="AG161"/>
  <c r="E162"/>
  <c r="F162"/>
  <c r="G162"/>
  <c r="H162"/>
  <c r="I162"/>
  <c r="J162"/>
  <c r="K162"/>
  <c r="L162"/>
  <c r="O162"/>
  <c r="P162"/>
  <c r="Q162"/>
  <c r="R162"/>
  <c r="E161"/>
  <c r="E146" i="15" s="1"/>
  <c r="F161" i="1"/>
  <c r="G161"/>
  <c r="H161"/>
  <c r="I161"/>
  <c r="J161"/>
  <c r="J114" i="15" s="1"/>
  <c r="K161" i="1"/>
  <c r="L161"/>
  <c r="O161"/>
  <c r="P161"/>
  <c r="Q161"/>
  <c r="R161"/>
  <c r="P109" i="15" s="1"/>
  <c r="S162" i="1"/>
  <c r="T162"/>
  <c r="U162"/>
  <c r="V162"/>
  <c r="S161"/>
  <c r="U161"/>
  <c r="T161"/>
  <c r="V161"/>
  <c r="T109" i="15" s="1"/>
  <c r="AA162" i="1"/>
  <c r="I59" i="10" l="1"/>
  <c r="I58"/>
  <c r="X17" i="15"/>
  <c r="X53"/>
  <c r="X128"/>
  <c r="X85"/>
  <c r="X18"/>
  <c r="X103"/>
  <c r="X69"/>
  <c r="X37"/>
  <c r="X146"/>
  <c r="X114"/>
  <c r="X93"/>
  <c r="X77"/>
  <c r="X61"/>
  <c r="X45"/>
  <c r="X29"/>
  <c r="M162" i="1"/>
  <c r="X132" i="15"/>
  <c r="X120"/>
  <c r="X108"/>
  <c r="X99"/>
  <c r="X89"/>
  <c r="X81"/>
  <c r="X73"/>
  <c r="X65"/>
  <c r="X57"/>
  <c r="X49"/>
  <c r="X41"/>
  <c r="X33"/>
  <c r="X23"/>
  <c r="X142"/>
  <c r="X130"/>
  <c r="X123"/>
  <c r="X117"/>
  <c r="X110"/>
  <c r="X106"/>
  <c r="X101"/>
  <c r="X95"/>
  <c r="X91"/>
  <c r="X87"/>
  <c r="X83"/>
  <c r="X79"/>
  <c r="X75"/>
  <c r="X71"/>
  <c r="X67"/>
  <c r="X63"/>
  <c r="X59"/>
  <c r="X55"/>
  <c r="X51"/>
  <c r="X47"/>
  <c r="X43"/>
  <c r="X39"/>
  <c r="X35"/>
  <c r="X31"/>
  <c r="X27"/>
  <c r="X21"/>
  <c r="W162" i="1"/>
  <c r="X162"/>
  <c r="N162"/>
  <c r="X145" i="15"/>
  <c r="X137"/>
  <c r="X131"/>
  <c r="X129"/>
  <c r="X127"/>
  <c r="X122"/>
  <c r="X118"/>
  <c r="X115"/>
  <c r="X113"/>
  <c r="X109"/>
  <c r="X107"/>
  <c r="X104"/>
  <c r="X102"/>
  <c r="X100"/>
  <c r="X96"/>
  <c r="X94"/>
  <c r="X92"/>
  <c r="X90"/>
  <c r="X88"/>
  <c r="X86"/>
  <c r="X84"/>
  <c r="X82"/>
  <c r="X80"/>
  <c r="X78"/>
  <c r="X76"/>
  <c r="X74"/>
  <c r="X72"/>
  <c r="X70"/>
  <c r="X68"/>
  <c r="X66"/>
  <c r="X64"/>
  <c r="X62"/>
  <c r="X60"/>
  <c r="X58"/>
  <c r="X56"/>
  <c r="X54"/>
  <c r="X52"/>
  <c r="X50"/>
  <c r="X48"/>
  <c r="X46"/>
  <c r="X44"/>
  <c r="X42"/>
  <c r="X40"/>
  <c r="X38"/>
  <c r="X36"/>
  <c r="X34"/>
  <c r="X32"/>
  <c r="X30"/>
  <c r="X28"/>
  <c r="X25"/>
  <c r="X22"/>
  <c r="X20"/>
  <c r="M161" i="1"/>
  <c r="S3" i="15"/>
  <c r="S4"/>
  <c r="S5"/>
  <c r="S7"/>
  <c r="S12"/>
  <c r="S14"/>
  <c r="S17"/>
  <c r="S19"/>
  <c r="S24"/>
  <c r="S26"/>
  <c r="S28"/>
  <c r="S30"/>
  <c r="S32"/>
  <c r="S8"/>
  <c r="S10"/>
  <c r="S15"/>
  <c r="S20"/>
  <c r="S21"/>
  <c r="S22"/>
  <c r="S23"/>
  <c r="S27"/>
  <c r="S29"/>
  <c r="S31"/>
  <c r="S36"/>
  <c r="S39"/>
  <c r="S40"/>
  <c r="S43"/>
  <c r="S45"/>
  <c r="S47"/>
  <c r="S49"/>
  <c r="S9"/>
  <c r="S13"/>
  <c r="S16"/>
  <c r="S18"/>
  <c r="S25"/>
  <c r="S33"/>
  <c r="S34"/>
  <c r="S35"/>
  <c r="S37"/>
  <c r="S38"/>
  <c r="S41"/>
  <c r="S42"/>
  <c r="S44"/>
  <c r="S46"/>
  <c r="S48"/>
  <c r="S50"/>
  <c r="S52"/>
  <c r="S54"/>
  <c r="S56"/>
  <c r="S57"/>
  <c r="S59"/>
  <c r="S61"/>
  <c r="S63"/>
  <c r="S65"/>
  <c r="S67"/>
  <c r="S69"/>
  <c r="S71"/>
  <c r="S73"/>
  <c r="S75"/>
  <c r="S77"/>
  <c r="S79"/>
  <c r="S81"/>
  <c r="S83"/>
  <c r="S85"/>
  <c r="S87"/>
  <c r="S89"/>
  <c r="S91"/>
  <c r="S93"/>
  <c r="S95"/>
  <c r="S99"/>
  <c r="S101"/>
  <c r="S103"/>
  <c r="S106"/>
  <c r="S108"/>
  <c r="S51"/>
  <c r="S53"/>
  <c r="S55"/>
  <c r="S58"/>
  <c r="S60"/>
  <c r="S62"/>
  <c r="S64"/>
  <c r="S66"/>
  <c r="S68"/>
  <c r="S70"/>
  <c r="S72"/>
  <c r="S74"/>
  <c r="S76"/>
  <c r="S78"/>
  <c r="S80"/>
  <c r="S82"/>
  <c r="S84"/>
  <c r="S86"/>
  <c r="S88"/>
  <c r="S90"/>
  <c r="S92"/>
  <c r="S94"/>
  <c r="S96"/>
  <c r="S100"/>
  <c r="S102"/>
  <c r="S104"/>
  <c r="S107"/>
  <c r="S109"/>
  <c r="S113"/>
  <c r="S114"/>
  <c r="S117"/>
  <c r="S118"/>
  <c r="S120"/>
  <c r="S122"/>
  <c r="N4"/>
  <c r="N5"/>
  <c r="N3"/>
  <c r="N8"/>
  <c r="N9"/>
  <c r="N10"/>
  <c r="N13"/>
  <c r="N15"/>
  <c r="N16"/>
  <c r="N18"/>
  <c r="N20"/>
  <c r="N21"/>
  <c r="N22"/>
  <c r="N23"/>
  <c r="N25"/>
  <c r="N27"/>
  <c r="N29"/>
  <c r="N31"/>
  <c r="N7"/>
  <c r="N14"/>
  <c r="N17"/>
  <c r="N24"/>
  <c r="N28"/>
  <c r="N30"/>
  <c r="N32"/>
  <c r="N33"/>
  <c r="N34"/>
  <c r="N35"/>
  <c r="N37"/>
  <c r="N38"/>
  <c r="N41"/>
  <c r="N42"/>
  <c r="N44"/>
  <c r="N46"/>
  <c r="N48"/>
  <c r="N50"/>
  <c r="N12"/>
  <c r="N19"/>
  <c r="N26"/>
  <c r="N36"/>
  <c r="N39"/>
  <c r="N40"/>
  <c r="N43"/>
  <c r="N45"/>
  <c r="N47"/>
  <c r="N49"/>
  <c r="N51"/>
  <c r="N53"/>
  <c r="N55"/>
  <c r="N58"/>
  <c r="N60"/>
  <c r="N62"/>
  <c r="N64"/>
  <c r="N66"/>
  <c r="N68"/>
  <c r="N70"/>
  <c r="N72"/>
  <c r="N74"/>
  <c r="N76"/>
  <c r="N78"/>
  <c r="N80"/>
  <c r="N82"/>
  <c r="N84"/>
  <c r="N86"/>
  <c r="N88"/>
  <c r="N90"/>
  <c r="N92"/>
  <c r="N94"/>
  <c r="N96"/>
  <c r="N100"/>
  <c r="N102"/>
  <c r="N104"/>
  <c r="N107"/>
  <c r="N52"/>
  <c r="N54"/>
  <c r="N56"/>
  <c r="N57"/>
  <c r="N59"/>
  <c r="N61"/>
  <c r="N63"/>
  <c r="N65"/>
  <c r="N67"/>
  <c r="N69"/>
  <c r="N71"/>
  <c r="N73"/>
  <c r="N75"/>
  <c r="N77"/>
  <c r="N79"/>
  <c r="N81"/>
  <c r="N83"/>
  <c r="N85"/>
  <c r="N87"/>
  <c r="N89"/>
  <c r="N91"/>
  <c r="N93"/>
  <c r="N95"/>
  <c r="N99"/>
  <c r="N101"/>
  <c r="N103"/>
  <c r="N106"/>
  <c r="N108"/>
  <c r="N110"/>
  <c r="N115"/>
  <c r="N123"/>
  <c r="N127"/>
  <c r="L4"/>
  <c r="L5"/>
  <c r="L3"/>
  <c r="L8"/>
  <c r="L9"/>
  <c r="L10"/>
  <c r="L13"/>
  <c r="L15"/>
  <c r="L16"/>
  <c r="L18"/>
  <c r="L20"/>
  <c r="L21"/>
  <c r="L22"/>
  <c r="L23"/>
  <c r="L25"/>
  <c r="L27"/>
  <c r="L29"/>
  <c r="L31"/>
  <c r="L12"/>
  <c r="L19"/>
  <c r="L26"/>
  <c r="L33"/>
  <c r="L34"/>
  <c r="L35"/>
  <c r="L37"/>
  <c r="L38"/>
  <c r="L41"/>
  <c r="L42"/>
  <c r="L44"/>
  <c r="L46"/>
  <c r="L48"/>
  <c r="L50"/>
  <c r="L7"/>
  <c r="L14"/>
  <c r="L17"/>
  <c r="L24"/>
  <c r="L28"/>
  <c r="L30"/>
  <c r="L32"/>
  <c r="L36"/>
  <c r="L39"/>
  <c r="L40"/>
  <c r="L43"/>
  <c r="L45"/>
  <c r="L47"/>
  <c r="L49"/>
  <c r="L51"/>
  <c r="L53"/>
  <c r="L55"/>
  <c r="L57"/>
  <c r="L52"/>
  <c r="L54"/>
  <c r="L56"/>
  <c r="L58"/>
  <c r="L60"/>
  <c r="L62"/>
  <c r="L64"/>
  <c r="L66"/>
  <c r="L68"/>
  <c r="L70"/>
  <c r="L72"/>
  <c r="L74"/>
  <c r="L76"/>
  <c r="L78"/>
  <c r="L80"/>
  <c r="L82"/>
  <c r="L84"/>
  <c r="L86"/>
  <c r="L88"/>
  <c r="L90"/>
  <c r="L92"/>
  <c r="L94"/>
  <c r="L96"/>
  <c r="L100"/>
  <c r="L102"/>
  <c r="L104"/>
  <c r="L107"/>
  <c r="L59"/>
  <c r="L61"/>
  <c r="L63"/>
  <c r="L65"/>
  <c r="L67"/>
  <c r="L69"/>
  <c r="L71"/>
  <c r="L73"/>
  <c r="L75"/>
  <c r="L77"/>
  <c r="L79"/>
  <c r="L81"/>
  <c r="L83"/>
  <c r="L85"/>
  <c r="L87"/>
  <c r="L89"/>
  <c r="L91"/>
  <c r="L93"/>
  <c r="L95"/>
  <c r="L99"/>
  <c r="L101"/>
  <c r="L103"/>
  <c r="L106"/>
  <c r="L108"/>
  <c r="L110"/>
  <c r="L115"/>
  <c r="L123"/>
  <c r="L127"/>
  <c r="H4"/>
  <c r="H5"/>
  <c r="H3"/>
  <c r="H8"/>
  <c r="H9"/>
  <c r="H10"/>
  <c r="H13"/>
  <c r="H15"/>
  <c r="H16"/>
  <c r="H18"/>
  <c r="H20"/>
  <c r="H21"/>
  <c r="H22"/>
  <c r="H23"/>
  <c r="H25"/>
  <c r="H27"/>
  <c r="H29"/>
  <c r="H31"/>
  <c r="H12"/>
  <c r="H19"/>
  <c r="H26"/>
  <c r="H33"/>
  <c r="H34"/>
  <c r="H35"/>
  <c r="H37"/>
  <c r="H38"/>
  <c r="H41"/>
  <c r="H42"/>
  <c r="H44"/>
  <c r="H46"/>
  <c r="H48"/>
  <c r="H50"/>
  <c r="H7"/>
  <c r="H14"/>
  <c r="H17"/>
  <c r="H24"/>
  <c r="H28"/>
  <c r="H30"/>
  <c r="H32"/>
  <c r="H36"/>
  <c r="H39"/>
  <c r="H40"/>
  <c r="H43"/>
  <c r="H45"/>
  <c r="H47"/>
  <c r="H49"/>
  <c r="H51"/>
  <c r="H53"/>
  <c r="H55"/>
  <c r="H57"/>
  <c r="H52"/>
  <c r="H54"/>
  <c r="H56"/>
  <c r="H58"/>
  <c r="H60"/>
  <c r="H62"/>
  <c r="H64"/>
  <c r="H66"/>
  <c r="H68"/>
  <c r="H70"/>
  <c r="H72"/>
  <c r="H74"/>
  <c r="H76"/>
  <c r="H78"/>
  <c r="H80"/>
  <c r="H82"/>
  <c r="H84"/>
  <c r="H86"/>
  <c r="H88"/>
  <c r="H90"/>
  <c r="H92"/>
  <c r="H94"/>
  <c r="H96"/>
  <c r="H100"/>
  <c r="H102"/>
  <c r="H104"/>
  <c r="H107"/>
  <c r="H59"/>
  <c r="H61"/>
  <c r="H63"/>
  <c r="H65"/>
  <c r="H67"/>
  <c r="H69"/>
  <c r="H71"/>
  <c r="H73"/>
  <c r="H75"/>
  <c r="H77"/>
  <c r="H79"/>
  <c r="H81"/>
  <c r="H83"/>
  <c r="H85"/>
  <c r="H87"/>
  <c r="H89"/>
  <c r="H91"/>
  <c r="H93"/>
  <c r="H95"/>
  <c r="H99"/>
  <c r="H101"/>
  <c r="H103"/>
  <c r="H106"/>
  <c r="H108"/>
  <c r="H110"/>
  <c r="H115"/>
  <c r="H123"/>
  <c r="H127"/>
  <c r="F4"/>
  <c r="F5"/>
  <c r="F3"/>
  <c r="F8"/>
  <c r="F9"/>
  <c r="F10"/>
  <c r="F13"/>
  <c r="F15"/>
  <c r="F16"/>
  <c r="F18"/>
  <c r="F20"/>
  <c r="F21"/>
  <c r="F22"/>
  <c r="F23"/>
  <c r="F25"/>
  <c r="F27"/>
  <c r="F29"/>
  <c r="F31"/>
  <c r="F7"/>
  <c r="F14"/>
  <c r="F17"/>
  <c r="F24"/>
  <c r="F28"/>
  <c r="F30"/>
  <c r="F32"/>
  <c r="F33"/>
  <c r="F34"/>
  <c r="F35"/>
  <c r="F37"/>
  <c r="F38"/>
  <c r="F41"/>
  <c r="F42"/>
  <c r="F44"/>
  <c r="F46"/>
  <c r="F48"/>
  <c r="F50"/>
  <c r="F12"/>
  <c r="F19"/>
  <c r="F26"/>
  <c r="F36"/>
  <c r="F39"/>
  <c r="F40"/>
  <c r="F43"/>
  <c r="F45"/>
  <c r="F47"/>
  <c r="F49"/>
  <c r="F51"/>
  <c r="F53"/>
  <c r="F55"/>
  <c r="F57"/>
  <c r="F58"/>
  <c r="F60"/>
  <c r="F62"/>
  <c r="F64"/>
  <c r="F66"/>
  <c r="F68"/>
  <c r="F70"/>
  <c r="F72"/>
  <c r="F74"/>
  <c r="F76"/>
  <c r="F78"/>
  <c r="F80"/>
  <c r="F82"/>
  <c r="F84"/>
  <c r="F86"/>
  <c r="F88"/>
  <c r="F90"/>
  <c r="F92"/>
  <c r="F94"/>
  <c r="F96"/>
  <c r="F100"/>
  <c r="F102"/>
  <c r="F104"/>
  <c r="F107"/>
  <c r="F109"/>
  <c r="F52"/>
  <c r="F54"/>
  <c r="F56"/>
  <c r="F59"/>
  <c r="F61"/>
  <c r="F63"/>
  <c r="F65"/>
  <c r="F67"/>
  <c r="F69"/>
  <c r="F71"/>
  <c r="F73"/>
  <c r="F75"/>
  <c r="F77"/>
  <c r="F79"/>
  <c r="F81"/>
  <c r="F83"/>
  <c r="F85"/>
  <c r="F87"/>
  <c r="F89"/>
  <c r="F91"/>
  <c r="F93"/>
  <c r="F95"/>
  <c r="F99"/>
  <c r="F101"/>
  <c r="F103"/>
  <c r="F106"/>
  <c r="F108"/>
  <c r="F110"/>
  <c r="F115"/>
  <c r="F123"/>
  <c r="F127"/>
  <c r="F128"/>
  <c r="Y18"/>
  <c r="Y20"/>
  <c r="Y22"/>
  <c r="Y23"/>
  <c r="Y25"/>
  <c r="Y27"/>
  <c r="Y29"/>
  <c r="Y31"/>
  <c r="Y17"/>
  <c r="Y24"/>
  <c r="Y33"/>
  <c r="Y34"/>
  <c r="Y35"/>
  <c r="Y37"/>
  <c r="Y38"/>
  <c r="Y41"/>
  <c r="Y42"/>
  <c r="Y44"/>
  <c r="Y46"/>
  <c r="Y48"/>
  <c r="Y19"/>
  <c r="Y26"/>
  <c r="Y28"/>
  <c r="Y30"/>
  <c r="Y32"/>
  <c r="Y36"/>
  <c r="Y39"/>
  <c r="Y40"/>
  <c r="Y43"/>
  <c r="Y45"/>
  <c r="Y47"/>
  <c r="Y49"/>
  <c r="Y51"/>
  <c r="Y53"/>
  <c r="Y55"/>
  <c r="Y50"/>
  <c r="Y52"/>
  <c r="Y54"/>
  <c r="Y56"/>
  <c r="Y58"/>
  <c r="Y60"/>
  <c r="Y62"/>
  <c r="Y64"/>
  <c r="Y66"/>
  <c r="Y68"/>
  <c r="Y70"/>
  <c r="Y72"/>
  <c r="Y74"/>
  <c r="Y76"/>
  <c r="Y78"/>
  <c r="Y80"/>
  <c r="Y82"/>
  <c r="Y84"/>
  <c r="Y86"/>
  <c r="Y88"/>
  <c r="Y90"/>
  <c r="Y92"/>
  <c r="Y94"/>
  <c r="Y96"/>
  <c r="Y100"/>
  <c r="Y102"/>
  <c r="Y104"/>
  <c r="Y107"/>
  <c r="Y57"/>
  <c r="Y59"/>
  <c r="Y61"/>
  <c r="Y63"/>
  <c r="Y65"/>
  <c r="Y67"/>
  <c r="Y69"/>
  <c r="Y71"/>
  <c r="Y73"/>
  <c r="Y75"/>
  <c r="Y77"/>
  <c r="Y79"/>
  <c r="Y81"/>
  <c r="Y83"/>
  <c r="Y85"/>
  <c r="Y87"/>
  <c r="Y89"/>
  <c r="Y91"/>
  <c r="Y93"/>
  <c r="Y95"/>
  <c r="Y99"/>
  <c r="Y101"/>
  <c r="Y103"/>
  <c r="Y106"/>
  <c r="Y108"/>
  <c r="Y110"/>
  <c r="Y115"/>
  <c r="Y123"/>
  <c r="Y127"/>
  <c r="R4"/>
  <c r="R3"/>
  <c r="R8"/>
  <c r="R9"/>
  <c r="R10"/>
  <c r="R13"/>
  <c r="R15"/>
  <c r="R16"/>
  <c r="R18"/>
  <c r="R20"/>
  <c r="R21"/>
  <c r="R22"/>
  <c r="R23"/>
  <c r="R25"/>
  <c r="R27"/>
  <c r="R29"/>
  <c r="R31"/>
  <c r="R7"/>
  <c r="R14"/>
  <c r="R17"/>
  <c r="R24"/>
  <c r="R28"/>
  <c r="R30"/>
  <c r="R32"/>
  <c r="R33"/>
  <c r="R34"/>
  <c r="R35"/>
  <c r="R37"/>
  <c r="R38"/>
  <c r="R41"/>
  <c r="R42"/>
  <c r="R44"/>
  <c r="R46"/>
  <c r="R48"/>
  <c r="R5"/>
  <c r="R12"/>
  <c r="R19"/>
  <c r="R26"/>
  <c r="R36"/>
  <c r="R39"/>
  <c r="R40"/>
  <c r="R43"/>
  <c r="R45"/>
  <c r="R47"/>
  <c r="R49"/>
  <c r="R51"/>
  <c r="R53"/>
  <c r="R55"/>
  <c r="R58"/>
  <c r="R60"/>
  <c r="R62"/>
  <c r="R64"/>
  <c r="R66"/>
  <c r="R68"/>
  <c r="R70"/>
  <c r="R72"/>
  <c r="R74"/>
  <c r="R76"/>
  <c r="R78"/>
  <c r="R80"/>
  <c r="R82"/>
  <c r="R84"/>
  <c r="R86"/>
  <c r="R88"/>
  <c r="R90"/>
  <c r="R92"/>
  <c r="R94"/>
  <c r="R96"/>
  <c r="R100"/>
  <c r="R102"/>
  <c r="R104"/>
  <c r="R107"/>
  <c r="R50"/>
  <c r="R52"/>
  <c r="R54"/>
  <c r="R56"/>
  <c r="R57"/>
  <c r="R59"/>
  <c r="R61"/>
  <c r="R63"/>
  <c r="R65"/>
  <c r="R67"/>
  <c r="R69"/>
  <c r="R71"/>
  <c r="R73"/>
  <c r="R75"/>
  <c r="R77"/>
  <c r="R79"/>
  <c r="R81"/>
  <c r="R83"/>
  <c r="R85"/>
  <c r="R87"/>
  <c r="R89"/>
  <c r="R91"/>
  <c r="R93"/>
  <c r="R95"/>
  <c r="R99"/>
  <c r="R101"/>
  <c r="R103"/>
  <c r="R106"/>
  <c r="R108"/>
  <c r="R110"/>
  <c r="R115"/>
  <c r="R123"/>
  <c r="R127"/>
  <c r="Q3"/>
  <c r="Q4"/>
  <c r="Q5"/>
  <c r="Q7"/>
  <c r="Q12"/>
  <c r="Q14"/>
  <c r="Q17"/>
  <c r="Q19"/>
  <c r="Q24"/>
  <c r="Q26"/>
  <c r="Q28"/>
  <c r="Q30"/>
  <c r="Q32"/>
  <c r="Q9"/>
  <c r="Q13"/>
  <c r="Q16"/>
  <c r="Q18"/>
  <c r="Q25"/>
  <c r="Q36"/>
  <c r="Q39"/>
  <c r="Q40"/>
  <c r="Q43"/>
  <c r="Q45"/>
  <c r="Q47"/>
  <c r="Q49"/>
  <c r="Q8"/>
  <c r="Q10"/>
  <c r="Q15"/>
  <c r="Q20"/>
  <c r="Q21"/>
  <c r="Q22"/>
  <c r="Q23"/>
  <c r="Q27"/>
  <c r="Q29"/>
  <c r="Q31"/>
  <c r="Q33"/>
  <c r="Q34"/>
  <c r="Q35"/>
  <c r="Q37"/>
  <c r="Q38"/>
  <c r="Q41"/>
  <c r="Q42"/>
  <c r="Q44"/>
  <c r="Q46"/>
  <c r="Q48"/>
  <c r="Q50"/>
  <c r="Q52"/>
  <c r="Q54"/>
  <c r="Q56"/>
  <c r="Q51"/>
  <c r="Q53"/>
  <c r="Q55"/>
  <c r="Q57"/>
  <c r="Q59"/>
  <c r="Q61"/>
  <c r="Q63"/>
  <c r="Q65"/>
  <c r="Q67"/>
  <c r="Q69"/>
  <c r="Q71"/>
  <c r="Q73"/>
  <c r="Q75"/>
  <c r="Q77"/>
  <c r="Q79"/>
  <c r="Q81"/>
  <c r="Q83"/>
  <c r="Q85"/>
  <c r="Q87"/>
  <c r="Q89"/>
  <c r="Q91"/>
  <c r="Q93"/>
  <c r="Q95"/>
  <c r="Q99"/>
  <c r="Q101"/>
  <c r="Q103"/>
  <c r="Q106"/>
  <c r="Q108"/>
  <c r="Q58"/>
  <c r="Q60"/>
  <c r="Q62"/>
  <c r="Q64"/>
  <c r="Q66"/>
  <c r="Q68"/>
  <c r="Q70"/>
  <c r="Q72"/>
  <c r="Q74"/>
  <c r="Q76"/>
  <c r="Q78"/>
  <c r="Q80"/>
  <c r="Q82"/>
  <c r="Q84"/>
  <c r="Q86"/>
  <c r="Q88"/>
  <c r="Q90"/>
  <c r="Q92"/>
  <c r="Q94"/>
  <c r="Q96"/>
  <c r="Q100"/>
  <c r="Q102"/>
  <c r="Q104"/>
  <c r="Q107"/>
  <c r="Q109"/>
  <c r="Q113"/>
  <c r="Q114"/>
  <c r="Q117"/>
  <c r="Q118"/>
  <c r="Q120"/>
  <c r="Q122"/>
  <c r="O3"/>
  <c r="O4"/>
  <c r="O5"/>
  <c r="O7"/>
  <c r="O12"/>
  <c r="O14"/>
  <c r="O17"/>
  <c r="O19"/>
  <c r="O24"/>
  <c r="O26"/>
  <c r="O28"/>
  <c r="O30"/>
  <c r="O32"/>
  <c r="O8"/>
  <c r="O10"/>
  <c r="O15"/>
  <c r="O20"/>
  <c r="O21"/>
  <c r="O22"/>
  <c r="O23"/>
  <c r="O27"/>
  <c r="O29"/>
  <c r="O31"/>
  <c r="O36"/>
  <c r="O39"/>
  <c r="O40"/>
  <c r="O43"/>
  <c r="O45"/>
  <c r="O47"/>
  <c r="O49"/>
  <c r="O9"/>
  <c r="O13"/>
  <c r="O16"/>
  <c r="O18"/>
  <c r="O25"/>
  <c r="O33"/>
  <c r="O34"/>
  <c r="O35"/>
  <c r="O37"/>
  <c r="O38"/>
  <c r="O41"/>
  <c r="O42"/>
  <c r="O44"/>
  <c r="O46"/>
  <c r="O48"/>
  <c r="O50"/>
  <c r="O52"/>
  <c r="O54"/>
  <c r="O56"/>
  <c r="O57"/>
  <c r="O59"/>
  <c r="O61"/>
  <c r="O63"/>
  <c r="O65"/>
  <c r="O67"/>
  <c r="O69"/>
  <c r="O71"/>
  <c r="O73"/>
  <c r="O75"/>
  <c r="O77"/>
  <c r="O79"/>
  <c r="O81"/>
  <c r="O83"/>
  <c r="O85"/>
  <c r="O87"/>
  <c r="O89"/>
  <c r="O91"/>
  <c r="O93"/>
  <c r="O95"/>
  <c r="O99"/>
  <c r="O101"/>
  <c r="O103"/>
  <c r="O106"/>
  <c r="O108"/>
  <c r="O51"/>
  <c r="O53"/>
  <c r="O55"/>
  <c r="O58"/>
  <c r="O60"/>
  <c r="O62"/>
  <c r="O64"/>
  <c r="O66"/>
  <c r="O68"/>
  <c r="O70"/>
  <c r="O72"/>
  <c r="O74"/>
  <c r="O76"/>
  <c r="O78"/>
  <c r="O80"/>
  <c r="O82"/>
  <c r="O84"/>
  <c r="O86"/>
  <c r="O88"/>
  <c r="O90"/>
  <c r="O92"/>
  <c r="O94"/>
  <c r="O96"/>
  <c r="O100"/>
  <c r="O102"/>
  <c r="O104"/>
  <c r="O107"/>
  <c r="O109"/>
  <c r="O113"/>
  <c r="O114"/>
  <c r="O117"/>
  <c r="O118"/>
  <c r="O120"/>
  <c r="O122"/>
  <c r="M3"/>
  <c r="M4"/>
  <c r="M5"/>
  <c r="M7"/>
  <c r="M12"/>
  <c r="M14"/>
  <c r="M17"/>
  <c r="M19"/>
  <c r="M24"/>
  <c r="M26"/>
  <c r="M28"/>
  <c r="M30"/>
  <c r="M32"/>
  <c r="M9"/>
  <c r="M13"/>
  <c r="M16"/>
  <c r="M18"/>
  <c r="M25"/>
  <c r="M36"/>
  <c r="M39"/>
  <c r="M40"/>
  <c r="M43"/>
  <c r="M45"/>
  <c r="M47"/>
  <c r="M49"/>
  <c r="M8"/>
  <c r="M10"/>
  <c r="M15"/>
  <c r="M20"/>
  <c r="M21"/>
  <c r="M22"/>
  <c r="M23"/>
  <c r="M27"/>
  <c r="M29"/>
  <c r="M31"/>
  <c r="M33"/>
  <c r="M34"/>
  <c r="M35"/>
  <c r="M37"/>
  <c r="M38"/>
  <c r="M41"/>
  <c r="M42"/>
  <c r="M44"/>
  <c r="M46"/>
  <c r="M48"/>
  <c r="M50"/>
  <c r="M52"/>
  <c r="M54"/>
  <c r="M56"/>
  <c r="M51"/>
  <c r="M53"/>
  <c r="M55"/>
  <c r="M57"/>
  <c r="M59"/>
  <c r="M61"/>
  <c r="M63"/>
  <c r="M65"/>
  <c r="M67"/>
  <c r="M69"/>
  <c r="M71"/>
  <c r="M73"/>
  <c r="M75"/>
  <c r="M77"/>
  <c r="M79"/>
  <c r="M81"/>
  <c r="M83"/>
  <c r="M85"/>
  <c r="M87"/>
  <c r="M89"/>
  <c r="M91"/>
  <c r="M93"/>
  <c r="M95"/>
  <c r="M99"/>
  <c r="M101"/>
  <c r="M103"/>
  <c r="M106"/>
  <c r="M108"/>
  <c r="M58"/>
  <c r="M60"/>
  <c r="M62"/>
  <c r="M64"/>
  <c r="M66"/>
  <c r="M68"/>
  <c r="M70"/>
  <c r="M72"/>
  <c r="M74"/>
  <c r="M76"/>
  <c r="M78"/>
  <c r="M80"/>
  <c r="M82"/>
  <c r="M84"/>
  <c r="M86"/>
  <c r="M88"/>
  <c r="M90"/>
  <c r="M92"/>
  <c r="M94"/>
  <c r="M96"/>
  <c r="M100"/>
  <c r="M102"/>
  <c r="M104"/>
  <c r="M107"/>
  <c r="M109"/>
  <c r="M113"/>
  <c r="M114"/>
  <c r="M117"/>
  <c r="M118"/>
  <c r="M120"/>
  <c r="M122"/>
  <c r="K3"/>
  <c r="K4"/>
  <c r="K5"/>
  <c r="K7"/>
  <c r="K12"/>
  <c r="K14"/>
  <c r="K17"/>
  <c r="K19"/>
  <c r="K24"/>
  <c r="K26"/>
  <c r="K28"/>
  <c r="K30"/>
  <c r="K32"/>
  <c r="K8"/>
  <c r="K10"/>
  <c r="K15"/>
  <c r="K20"/>
  <c r="K21"/>
  <c r="K22"/>
  <c r="K23"/>
  <c r="K27"/>
  <c r="K29"/>
  <c r="K31"/>
  <c r="K36"/>
  <c r="K39"/>
  <c r="K40"/>
  <c r="K43"/>
  <c r="K45"/>
  <c r="K47"/>
  <c r="K49"/>
  <c r="K9"/>
  <c r="K13"/>
  <c r="K16"/>
  <c r="K18"/>
  <c r="K25"/>
  <c r="K33"/>
  <c r="K34"/>
  <c r="K35"/>
  <c r="K37"/>
  <c r="K38"/>
  <c r="K41"/>
  <c r="K42"/>
  <c r="K44"/>
  <c r="K46"/>
  <c r="K48"/>
  <c r="K50"/>
  <c r="K52"/>
  <c r="K54"/>
  <c r="K56"/>
  <c r="K59"/>
  <c r="K61"/>
  <c r="K63"/>
  <c r="K65"/>
  <c r="K67"/>
  <c r="K69"/>
  <c r="K71"/>
  <c r="K73"/>
  <c r="K75"/>
  <c r="K77"/>
  <c r="K79"/>
  <c r="K81"/>
  <c r="K83"/>
  <c r="K85"/>
  <c r="K87"/>
  <c r="K89"/>
  <c r="K91"/>
  <c r="K93"/>
  <c r="K95"/>
  <c r="K99"/>
  <c r="K101"/>
  <c r="K103"/>
  <c r="K106"/>
  <c r="K108"/>
  <c r="K51"/>
  <c r="K53"/>
  <c r="K55"/>
  <c r="K57"/>
  <c r="K58"/>
  <c r="K60"/>
  <c r="K62"/>
  <c r="K64"/>
  <c r="K66"/>
  <c r="K68"/>
  <c r="K70"/>
  <c r="K72"/>
  <c r="K74"/>
  <c r="K76"/>
  <c r="K78"/>
  <c r="K80"/>
  <c r="K82"/>
  <c r="K84"/>
  <c r="K86"/>
  <c r="K88"/>
  <c r="K90"/>
  <c r="K92"/>
  <c r="K94"/>
  <c r="K96"/>
  <c r="K100"/>
  <c r="K102"/>
  <c r="K104"/>
  <c r="K107"/>
  <c r="K109"/>
  <c r="K113"/>
  <c r="K114"/>
  <c r="K117"/>
  <c r="K118"/>
  <c r="K120"/>
  <c r="K122"/>
  <c r="I3"/>
  <c r="I4"/>
  <c r="I5"/>
  <c r="I7"/>
  <c r="I12"/>
  <c r="I14"/>
  <c r="I17"/>
  <c r="I19"/>
  <c r="I24"/>
  <c r="I26"/>
  <c r="I28"/>
  <c r="I30"/>
  <c r="I32"/>
  <c r="I9"/>
  <c r="I13"/>
  <c r="I16"/>
  <c r="I18"/>
  <c r="I25"/>
  <c r="I36"/>
  <c r="I39"/>
  <c r="I40"/>
  <c r="I43"/>
  <c r="I45"/>
  <c r="I47"/>
  <c r="I49"/>
  <c r="I8"/>
  <c r="I10"/>
  <c r="I15"/>
  <c r="I20"/>
  <c r="I21"/>
  <c r="I22"/>
  <c r="I23"/>
  <c r="I27"/>
  <c r="I29"/>
  <c r="I31"/>
  <c r="I33"/>
  <c r="I34"/>
  <c r="I35"/>
  <c r="I37"/>
  <c r="I38"/>
  <c r="I41"/>
  <c r="I42"/>
  <c r="I44"/>
  <c r="I46"/>
  <c r="I48"/>
  <c r="I50"/>
  <c r="I52"/>
  <c r="I54"/>
  <c r="I56"/>
  <c r="I51"/>
  <c r="I53"/>
  <c r="I55"/>
  <c r="I57"/>
  <c r="I59"/>
  <c r="I61"/>
  <c r="I63"/>
  <c r="I65"/>
  <c r="I67"/>
  <c r="I69"/>
  <c r="I71"/>
  <c r="I73"/>
  <c r="I75"/>
  <c r="I77"/>
  <c r="I79"/>
  <c r="I81"/>
  <c r="I83"/>
  <c r="I85"/>
  <c r="I87"/>
  <c r="I89"/>
  <c r="I91"/>
  <c r="I93"/>
  <c r="I95"/>
  <c r="I99"/>
  <c r="I101"/>
  <c r="I103"/>
  <c r="I106"/>
  <c r="I108"/>
  <c r="I58"/>
  <c r="I60"/>
  <c r="I62"/>
  <c r="I64"/>
  <c r="I66"/>
  <c r="I68"/>
  <c r="I70"/>
  <c r="I72"/>
  <c r="I74"/>
  <c r="I76"/>
  <c r="I78"/>
  <c r="I80"/>
  <c r="I82"/>
  <c r="I84"/>
  <c r="I86"/>
  <c r="I88"/>
  <c r="I90"/>
  <c r="I92"/>
  <c r="I94"/>
  <c r="I96"/>
  <c r="I100"/>
  <c r="I102"/>
  <c r="I104"/>
  <c r="I107"/>
  <c r="I109"/>
  <c r="I113"/>
  <c r="I114"/>
  <c r="I117"/>
  <c r="I118"/>
  <c r="I120"/>
  <c r="I122"/>
  <c r="G3"/>
  <c r="G4"/>
  <c r="G5"/>
  <c r="G7"/>
  <c r="G12"/>
  <c r="G14"/>
  <c r="G17"/>
  <c r="G19"/>
  <c r="G24"/>
  <c r="G26"/>
  <c r="G28"/>
  <c r="G30"/>
  <c r="G32"/>
  <c r="G8"/>
  <c r="G10"/>
  <c r="G15"/>
  <c r="G20"/>
  <c r="G21"/>
  <c r="G22"/>
  <c r="G23"/>
  <c r="G27"/>
  <c r="G29"/>
  <c r="G31"/>
  <c r="G36"/>
  <c r="G39"/>
  <c r="G40"/>
  <c r="G43"/>
  <c r="G45"/>
  <c r="G47"/>
  <c r="G49"/>
  <c r="G9"/>
  <c r="G13"/>
  <c r="G16"/>
  <c r="G18"/>
  <c r="G25"/>
  <c r="G33"/>
  <c r="G34"/>
  <c r="G35"/>
  <c r="G37"/>
  <c r="G38"/>
  <c r="G41"/>
  <c r="G42"/>
  <c r="G44"/>
  <c r="G46"/>
  <c r="G48"/>
  <c r="G50"/>
  <c r="G52"/>
  <c r="G54"/>
  <c r="G56"/>
  <c r="G59"/>
  <c r="G61"/>
  <c r="G63"/>
  <c r="G65"/>
  <c r="G67"/>
  <c r="G69"/>
  <c r="G71"/>
  <c r="G73"/>
  <c r="G75"/>
  <c r="G77"/>
  <c r="G79"/>
  <c r="G81"/>
  <c r="G83"/>
  <c r="G85"/>
  <c r="G87"/>
  <c r="G89"/>
  <c r="G91"/>
  <c r="G93"/>
  <c r="G95"/>
  <c r="G99"/>
  <c r="G101"/>
  <c r="G103"/>
  <c r="G106"/>
  <c r="G108"/>
  <c r="G51"/>
  <c r="G53"/>
  <c r="G55"/>
  <c r="G57"/>
  <c r="G58"/>
  <c r="G60"/>
  <c r="G62"/>
  <c r="G64"/>
  <c r="G66"/>
  <c r="G68"/>
  <c r="G70"/>
  <c r="G72"/>
  <c r="G74"/>
  <c r="G76"/>
  <c r="G78"/>
  <c r="G80"/>
  <c r="G82"/>
  <c r="G84"/>
  <c r="G86"/>
  <c r="G88"/>
  <c r="G90"/>
  <c r="G92"/>
  <c r="G94"/>
  <c r="G96"/>
  <c r="G100"/>
  <c r="G102"/>
  <c r="G104"/>
  <c r="G107"/>
  <c r="G109"/>
  <c r="G113"/>
  <c r="G114"/>
  <c r="G117"/>
  <c r="G118"/>
  <c r="G120"/>
  <c r="G122"/>
  <c r="E4"/>
  <c r="E7"/>
  <c r="E9"/>
  <c r="E12"/>
  <c r="E14"/>
  <c r="E16"/>
  <c r="E18"/>
  <c r="E20"/>
  <c r="E22"/>
  <c r="E24"/>
  <c r="E26"/>
  <c r="E28"/>
  <c r="E30"/>
  <c r="E32"/>
  <c r="E34"/>
  <c r="E36"/>
  <c r="E38"/>
  <c r="E40"/>
  <c r="E42"/>
  <c r="E44"/>
  <c r="E46"/>
  <c r="E48"/>
  <c r="E50"/>
  <c r="E52"/>
  <c r="E54"/>
  <c r="E56"/>
  <c r="E58"/>
  <c r="E60"/>
  <c r="E62"/>
  <c r="E64"/>
  <c r="E66"/>
  <c r="E68"/>
  <c r="E70"/>
  <c r="E72"/>
  <c r="E74"/>
  <c r="E76"/>
  <c r="E78"/>
  <c r="E80"/>
  <c r="E82"/>
  <c r="E84"/>
  <c r="E86"/>
  <c r="E88"/>
  <c r="E90"/>
  <c r="E92"/>
  <c r="E94"/>
  <c r="E96"/>
  <c r="E100"/>
  <c r="E102"/>
  <c r="E104"/>
  <c r="E107"/>
  <c r="E109"/>
  <c r="E113"/>
  <c r="E115"/>
  <c r="E118"/>
  <c r="E122"/>
  <c r="E127"/>
  <c r="E129"/>
  <c r="E131"/>
  <c r="E137"/>
  <c r="E145"/>
  <c r="Y146"/>
  <c r="T146"/>
  <c r="R146"/>
  <c r="P146"/>
  <c r="N146"/>
  <c r="L146"/>
  <c r="J146"/>
  <c r="H146"/>
  <c r="F146"/>
  <c r="Y145"/>
  <c r="T145"/>
  <c r="R145"/>
  <c r="P145"/>
  <c r="N145"/>
  <c r="L145"/>
  <c r="J145"/>
  <c r="H145"/>
  <c r="F145"/>
  <c r="S142"/>
  <c r="Q142"/>
  <c r="O142"/>
  <c r="M142"/>
  <c r="K142"/>
  <c r="I142"/>
  <c r="G142"/>
  <c r="S137"/>
  <c r="Q137"/>
  <c r="O137"/>
  <c r="M137"/>
  <c r="K137"/>
  <c r="I137"/>
  <c r="G137"/>
  <c r="Y132"/>
  <c r="T132"/>
  <c r="R132"/>
  <c r="P132"/>
  <c r="N132"/>
  <c r="L132"/>
  <c r="J132"/>
  <c r="H132"/>
  <c r="F132"/>
  <c r="Y131"/>
  <c r="T131"/>
  <c r="R131"/>
  <c r="P131"/>
  <c r="N131"/>
  <c r="L131"/>
  <c r="J131"/>
  <c r="H131"/>
  <c r="F131"/>
  <c r="Y130"/>
  <c r="T130"/>
  <c r="R130"/>
  <c r="P130"/>
  <c r="N130"/>
  <c r="L130"/>
  <c r="J130"/>
  <c r="H130"/>
  <c r="F130"/>
  <c r="S129"/>
  <c r="Q129"/>
  <c r="O129"/>
  <c r="M129"/>
  <c r="K129"/>
  <c r="I129"/>
  <c r="G129"/>
  <c r="Y128"/>
  <c r="T128"/>
  <c r="R128"/>
  <c r="P128"/>
  <c r="N128"/>
  <c r="L128"/>
  <c r="J128"/>
  <c r="H128"/>
  <c r="Q127"/>
  <c r="M127"/>
  <c r="I127"/>
  <c r="Q123"/>
  <c r="M123"/>
  <c r="I123"/>
  <c r="Y122"/>
  <c r="T122"/>
  <c r="P122"/>
  <c r="L122"/>
  <c r="H122"/>
  <c r="R120"/>
  <c r="N120"/>
  <c r="J120"/>
  <c r="F120"/>
  <c r="Y118"/>
  <c r="T118"/>
  <c r="P118"/>
  <c r="L118"/>
  <c r="H118"/>
  <c r="R117"/>
  <c r="N117"/>
  <c r="J117"/>
  <c r="F117"/>
  <c r="S115"/>
  <c r="O115"/>
  <c r="K115"/>
  <c r="G115"/>
  <c r="R114"/>
  <c r="N114"/>
  <c r="F114"/>
  <c r="Y113"/>
  <c r="T113"/>
  <c r="P113"/>
  <c r="L113"/>
  <c r="H113"/>
  <c r="Q110"/>
  <c r="M110"/>
  <c r="I110"/>
  <c r="Y109"/>
  <c r="L109"/>
  <c r="H109"/>
  <c r="T4"/>
  <c r="T3"/>
  <c r="T8"/>
  <c r="T9"/>
  <c r="T10"/>
  <c r="T13"/>
  <c r="T15"/>
  <c r="T16"/>
  <c r="T18"/>
  <c r="T20"/>
  <c r="T21"/>
  <c r="T22"/>
  <c r="T23"/>
  <c r="T25"/>
  <c r="T27"/>
  <c r="T29"/>
  <c r="T31"/>
  <c r="T5"/>
  <c r="T12"/>
  <c r="T19"/>
  <c r="T26"/>
  <c r="T33"/>
  <c r="T34"/>
  <c r="T35"/>
  <c r="T37"/>
  <c r="T38"/>
  <c r="T41"/>
  <c r="T42"/>
  <c r="T44"/>
  <c r="T46"/>
  <c r="T48"/>
  <c r="T7"/>
  <c r="T14"/>
  <c r="T17"/>
  <c r="T24"/>
  <c r="T28"/>
  <c r="T30"/>
  <c r="T32"/>
  <c r="T36"/>
  <c r="T39"/>
  <c r="T40"/>
  <c r="T43"/>
  <c r="T45"/>
  <c r="T47"/>
  <c r="T49"/>
  <c r="T51"/>
  <c r="T53"/>
  <c r="T55"/>
  <c r="T50"/>
  <c r="T52"/>
  <c r="T54"/>
  <c r="T56"/>
  <c r="T58"/>
  <c r="T60"/>
  <c r="T62"/>
  <c r="T64"/>
  <c r="T66"/>
  <c r="T68"/>
  <c r="T70"/>
  <c r="T72"/>
  <c r="T74"/>
  <c r="T76"/>
  <c r="T78"/>
  <c r="T80"/>
  <c r="T82"/>
  <c r="T84"/>
  <c r="T86"/>
  <c r="T88"/>
  <c r="T90"/>
  <c r="T92"/>
  <c r="T94"/>
  <c r="T96"/>
  <c r="T100"/>
  <c r="T102"/>
  <c r="T104"/>
  <c r="T107"/>
  <c r="T57"/>
  <c r="T59"/>
  <c r="T61"/>
  <c r="T63"/>
  <c r="T65"/>
  <c r="T67"/>
  <c r="T69"/>
  <c r="T71"/>
  <c r="T73"/>
  <c r="T75"/>
  <c r="T77"/>
  <c r="T79"/>
  <c r="T81"/>
  <c r="T83"/>
  <c r="T85"/>
  <c r="T87"/>
  <c r="T89"/>
  <c r="T91"/>
  <c r="T93"/>
  <c r="T95"/>
  <c r="T99"/>
  <c r="T101"/>
  <c r="T103"/>
  <c r="T106"/>
  <c r="T108"/>
  <c r="T110"/>
  <c r="T115"/>
  <c r="T123"/>
  <c r="T127"/>
  <c r="P4"/>
  <c r="P3"/>
  <c r="P8"/>
  <c r="P9"/>
  <c r="P10"/>
  <c r="P13"/>
  <c r="P15"/>
  <c r="P16"/>
  <c r="P18"/>
  <c r="P20"/>
  <c r="P21"/>
  <c r="P22"/>
  <c r="P23"/>
  <c r="P25"/>
  <c r="P27"/>
  <c r="P29"/>
  <c r="P31"/>
  <c r="P5"/>
  <c r="P12"/>
  <c r="P19"/>
  <c r="P26"/>
  <c r="P33"/>
  <c r="P34"/>
  <c r="P35"/>
  <c r="P37"/>
  <c r="P38"/>
  <c r="P41"/>
  <c r="P42"/>
  <c r="P44"/>
  <c r="P46"/>
  <c r="P48"/>
  <c r="P50"/>
  <c r="P7"/>
  <c r="P14"/>
  <c r="P17"/>
  <c r="P24"/>
  <c r="P28"/>
  <c r="P30"/>
  <c r="P32"/>
  <c r="P36"/>
  <c r="P39"/>
  <c r="P40"/>
  <c r="P43"/>
  <c r="P45"/>
  <c r="P47"/>
  <c r="P49"/>
  <c r="P51"/>
  <c r="P53"/>
  <c r="P55"/>
  <c r="P52"/>
  <c r="P54"/>
  <c r="P56"/>
  <c r="P58"/>
  <c r="P60"/>
  <c r="P62"/>
  <c r="P64"/>
  <c r="P66"/>
  <c r="P68"/>
  <c r="P70"/>
  <c r="P72"/>
  <c r="P74"/>
  <c r="P76"/>
  <c r="P78"/>
  <c r="P80"/>
  <c r="P82"/>
  <c r="P84"/>
  <c r="P86"/>
  <c r="P88"/>
  <c r="P90"/>
  <c r="P92"/>
  <c r="P94"/>
  <c r="P96"/>
  <c r="P100"/>
  <c r="P102"/>
  <c r="P104"/>
  <c r="P107"/>
  <c r="P57"/>
  <c r="P59"/>
  <c r="P61"/>
  <c r="P63"/>
  <c r="P65"/>
  <c r="P67"/>
  <c r="P69"/>
  <c r="P71"/>
  <c r="P73"/>
  <c r="P75"/>
  <c r="P77"/>
  <c r="P79"/>
  <c r="P81"/>
  <c r="P83"/>
  <c r="P85"/>
  <c r="P87"/>
  <c r="P89"/>
  <c r="P91"/>
  <c r="P93"/>
  <c r="P95"/>
  <c r="P99"/>
  <c r="P101"/>
  <c r="P103"/>
  <c r="P106"/>
  <c r="P108"/>
  <c r="P110"/>
  <c r="P115"/>
  <c r="P123"/>
  <c r="P127"/>
  <c r="J4"/>
  <c r="J5"/>
  <c r="J3"/>
  <c r="J8"/>
  <c r="J9"/>
  <c r="J10"/>
  <c r="J13"/>
  <c r="J15"/>
  <c r="J16"/>
  <c r="J18"/>
  <c r="J20"/>
  <c r="J21"/>
  <c r="J22"/>
  <c r="J23"/>
  <c r="J25"/>
  <c r="J27"/>
  <c r="J29"/>
  <c r="J31"/>
  <c r="J7"/>
  <c r="J14"/>
  <c r="J17"/>
  <c r="J24"/>
  <c r="J28"/>
  <c r="J30"/>
  <c r="J32"/>
  <c r="J33"/>
  <c r="J34"/>
  <c r="J35"/>
  <c r="J37"/>
  <c r="J38"/>
  <c r="J41"/>
  <c r="J42"/>
  <c r="J44"/>
  <c r="J46"/>
  <c r="J48"/>
  <c r="J50"/>
  <c r="J12"/>
  <c r="J19"/>
  <c r="J26"/>
  <c r="J36"/>
  <c r="J39"/>
  <c r="J40"/>
  <c r="J43"/>
  <c r="J45"/>
  <c r="J47"/>
  <c r="J49"/>
  <c r="J51"/>
  <c r="J53"/>
  <c r="J55"/>
  <c r="J57"/>
  <c r="J58"/>
  <c r="J60"/>
  <c r="J62"/>
  <c r="J64"/>
  <c r="J66"/>
  <c r="J68"/>
  <c r="J70"/>
  <c r="J72"/>
  <c r="J74"/>
  <c r="J76"/>
  <c r="J78"/>
  <c r="J80"/>
  <c r="J82"/>
  <c r="J84"/>
  <c r="J86"/>
  <c r="J88"/>
  <c r="J90"/>
  <c r="J92"/>
  <c r="J94"/>
  <c r="J96"/>
  <c r="J100"/>
  <c r="J102"/>
  <c r="J104"/>
  <c r="J107"/>
  <c r="J52"/>
  <c r="J54"/>
  <c r="J56"/>
  <c r="J59"/>
  <c r="J61"/>
  <c r="J63"/>
  <c r="J65"/>
  <c r="J67"/>
  <c r="J69"/>
  <c r="J71"/>
  <c r="J73"/>
  <c r="J75"/>
  <c r="J77"/>
  <c r="J79"/>
  <c r="J81"/>
  <c r="J83"/>
  <c r="J85"/>
  <c r="J87"/>
  <c r="J89"/>
  <c r="J91"/>
  <c r="J93"/>
  <c r="J95"/>
  <c r="J99"/>
  <c r="J101"/>
  <c r="J103"/>
  <c r="J106"/>
  <c r="J108"/>
  <c r="J110"/>
  <c r="J115"/>
  <c r="J123"/>
  <c r="J127"/>
  <c r="E3"/>
  <c r="E5"/>
  <c r="E8"/>
  <c r="E10"/>
  <c r="E13"/>
  <c r="E15"/>
  <c r="E17"/>
  <c r="E19"/>
  <c r="E21"/>
  <c r="E23"/>
  <c r="E25"/>
  <c r="E27"/>
  <c r="E29"/>
  <c r="E31"/>
  <c r="E33"/>
  <c r="E35"/>
  <c r="E37"/>
  <c r="E39"/>
  <c r="E41"/>
  <c r="E43"/>
  <c r="E45"/>
  <c r="E47"/>
  <c r="E49"/>
  <c r="E51"/>
  <c r="E53"/>
  <c r="E55"/>
  <c r="E57"/>
  <c r="E59"/>
  <c r="E61"/>
  <c r="E63"/>
  <c r="E65"/>
  <c r="E67"/>
  <c r="E69"/>
  <c r="E71"/>
  <c r="E73"/>
  <c r="E75"/>
  <c r="E77"/>
  <c r="E79"/>
  <c r="E81"/>
  <c r="E83"/>
  <c r="E85"/>
  <c r="E87"/>
  <c r="E89"/>
  <c r="E91"/>
  <c r="E93"/>
  <c r="E95"/>
  <c r="E99"/>
  <c r="E101"/>
  <c r="E103"/>
  <c r="E106"/>
  <c r="E108"/>
  <c r="E110"/>
  <c r="E114"/>
  <c r="E117"/>
  <c r="E120"/>
  <c r="E123"/>
  <c r="E128"/>
  <c r="E130"/>
  <c r="E132"/>
  <c r="E142"/>
  <c r="S146"/>
  <c r="Q146"/>
  <c r="O146"/>
  <c r="M146"/>
  <c r="K146"/>
  <c r="I146"/>
  <c r="G146"/>
  <c r="S145"/>
  <c r="Q145"/>
  <c r="O145"/>
  <c r="M145"/>
  <c r="K145"/>
  <c r="I145"/>
  <c r="G145"/>
  <c r="Y142"/>
  <c r="T142"/>
  <c r="R142"/>
  <c r="P142"/>
  <c r="N142"/>
  <c r="L142"/>
  <c r="J142"/>
  <c r="H142"/>
  <c r="F142"/>
  <c r="Y137"/>
  <c r="T137"/>
  <c r="R137"/>
  <c r="P137"/>
  <c r="N137"/>
  <c r="L137"/>
  <c r="J137"/>
  <c r="H137"/>
  <c r="F137"/>
  <c r="S132"/>
  <c r="Q132"/>
  <c r="O132"/>
  <c r="M132"/>
  <c r="K132"/>
  <c r="I132"/>
  <c r="G132"/>
  <c r="S131"/>
  <c r="Q131"/>
  <c r="O131"/>
  <c r="M131"/>
  <c r="K131"/>
  <c r="I131"/>
  <c r="G131"/>
  <c r="S130"/>
  <c r="Q130"/>
  <c r="O130"/>
  <c r="M130"/>
  <c r="K130"/>
  <c r="I130"/>
  <c r="G130"/>
  <c r="Y129"/>
  <c r="T129"/>
  <c r="R129"/>
  <c r="P129"/>
  <c r="N129"/>
  <c r="L129"/>
  <c r="J129"/>
  <c r="H129"/>
  <c r="F129"/>
  <c r="S128"/>
  <c r="Q128"/>
  <c r="O128"/>
  <c r="M128"/>
  <c r="K128"/>
  <c r="I128"/>
  <c r="G128"/>
  <c r="S127"/>
  <c r="O127"/>
  <c r="K127"/>
  <c r="G127"/>
  <c r="S123"/>
  <c r="O123"/>
  <c r="K123"/>
  <c r="G123"/>
  <c r="R122"/>
  <c r="N122"/>
  <c r="J122"/>
  <c r="F122"/>
  <c r="Y120"/>
  <c r="T120"/>
  <c r="P120"/>
  <c r="L120"/>
  <c r="H120"/>
  <c r="R118"/>
  <c r="N118"/>
  <c r="J118"/>
  <c r="F118"/>
  <c r="Y117"/>
  <c r="T117"/>
  <c r="P117"/>
  <c r="L117"/>
  <c r="H117"/>
  <c r="Q115"/>
  <c r="M115"/>
  <c r="I115"/>
  <c r="Y114"/>
  <c r="T114"/>
  <c r="P114"/>
  <c r="L114"/>
  <c r="H114"/>
  <c r="R113"/>
  <c r="N113"/>
  <c r="J113"/>
  <c r="F113"/>
  <c r="S110"/>
  <c r="O110"/>
  <c r="K110"/>
  <c r="G110"/>
  <c r="R109"/>
  <c r="N109"/>
  <c r="J109"/>
  <c r="X26"/>
  <c r="X24"/>
  <c r="X19"/>
  <c r="AD162" i="1"/>
  <c r="AD161"/>
  <c r="AC162"/>
  <c r="AC161"/>
  <c r="AB162"/>
  <c r="AB161"/>
  <c r="H24" i="10"/>
  <c r="D38"/>
  <c r="D36" i="1"/>
  <c r="D50" s="1"/>
  <c r="D64" s="1"/>
  <c r="D78" s="1"/>
  <c r="D92" s="1"/>
  <c r="D106" s="1"/>
  <c r="D120" s="1"/>
  <c r="D134" s="1"/>
  <c r="D148" s="1"/>
  <c r="D37"/>
  <c r="D51" s="1"/>
  <c r="D65" s="1"/>
  <c r="D79" s="1"/>
  <c r="D93" s="1"/>
  <c r="D107" s="1"/>
  <c r="D121" s="1"/>
  <c r="D135" s="1"/>
  <c r="D149" s="1"/>
  <c r="D38"/>
  <c r="D52" s="1"/>
  <c r="D66" s="1"/>
  <c r="D80" s="1"/>
  <c r="D94" s="1"/>
  <c r="D108" s="1"/>
  <c r="D122" s="1"/>
  <c r="D136" s="1"/>
  <c r="D150" s="1"/>
  <c r="D39"/>
  <c r="D53" s="1"/>
  <c r="D67" s="1"/>
  <c r="D81" s="1"/>
  <c r="D95" s="1"/>
  <c r="D109" s="1"/>
  <c r="D123" s="1"/>
  <c r="D137" s="1"/>
  <c r="D151" s="1"/>
  <c r="D40"/>
  <c r="D54" s="1"/>
  <c r="D68" s="1"/>
  <c r="D82" s="1"/>
  <c r="D96" s="1"/>
  <c r="D110" s="1"/>
  <c r="D124" s="1"/>
  <c r="D138" s="1"/>
  <c r="D152" s="1"/>
  <c r="D41"/>
  <c r="D55" s="1"/>
  <c r="D69" s="1"/>
  <c r="D83" s="1"/>
  <c r="D97" s="1"/>
  <c r="D111" s="1"/>
  <c r="D125" s="1"/>
  <c r="D139" s="1"/>
  <c r="D153" s="1"/>
  <c r="D42"/>
  <c r="D56" s="1"/>
  <c r="D70" s="1"/>
  <c r="D84" s="1"/>
  <c r="D98" s="1"/>
  <c r="D112" s="1"/>
  <c r="D126" s="1"/>
  <c r="D140" s="1"/>
  <c r="D154" s="1"/>
  <c r="D43"/>
  <c r="D57" s="1"/>
  <c r="D71" s="1"/>
  <c r="D85" s="1"/>
  <c r="D99" s="1"/>
  <c r="D113" s="1"/>
  <c r="D127" s="1"/>
  <c r="D141" s="1"/>
  <c r="D155" s="1"/>
  <c r="D44"/>
  <c r="D58" s="1"/>
  <c r="D72" s="1"/>
  <c r="D86" s="1"/>
  <c r="D100" s="1"/>
  <c r="D114" s="1"/>
  <c r="D128" s="1"/>
  <c r="D142" s="1"/>
  <c r="D156" s="1"/>
  <c r="D45"/>
  <c r="D59" s="1"/>
  <c r="D73" s="1"/>
  <c r="D87" s="1"/>
  <c r="D101" s="1"/>
  <c r="D115" s="1"/>
  <c r="D129" s="1"/>
  <c r="D143" s="1"/>
  <c r="D157" s="1"/>
  <c r="D46"/>
  <c r="D60" s="1"/>
  <c r="D74" s="1"/>
  <c r="D88" s="1"/>
  <c r="D102" s="1"/>
  <c r="D116" s="1"/>
  <c r="D130" s="1"/>
  <c r="D144" s="1"/>
  <c r="D158" s="1"/>
  <c r="D47"/>
  <c r="D61" s="1"/>
  <c r="D75" s="1"/>
  <c r="D89" s="1"/>
  <c r="D103" s="1"/>
  <c r="D117" s="1"/>
  <c r="D131" s="1"/>
  <c r="D145" s="1"/>
  <c r="D159" s="1"/>
  <c r="D48"/>
  <c r="D62" s="1"/>
  <c r="D76" s="1"/>
  <c r="D90" s="1"/>
  <c r="D104" s="1"/>
  <c r="D118" s="1"/>
  <c r="D132" s="1"/>
  <c r="D146" s="1"/>
  <c r="D160" s="1"/>
  <c r="D35"/>
  <c r="D49" s="1"/>
  <c r="D63" s="1"/>
  <c r="D77" s="1"/>
  <c r="D91" s="1"/>
  <c r="D105" s="1"/>
  <c r="D119" s="1"/>
  <c r="D133" s="1"/>
  <c r="D147" s="1"/>
  <c r="U145" i="15" l="1"/>
  <c r="U127"/>
  <c r="U129"/>
  <c r="U131"/>
  <c r="U137"/>
  <c r="U107"/>
  <c r="U109"/>
  <c r="U113"/>
  <c r="U115"/>
  <c r="U118"/>
  <c r="U122"/>
  <c r="U90"/>
  <c r="U92"/>
  <c r="U94"/>
  <c r="U96"/>
  <c r="U100"/>
  <c r="U102"/>
  <c r="U104"/>
  <c r="U72"/>
  <c r="U74"/>
  <c r="U76"/>
  <c r="U78"/>
  <c r="U80"/>
  <c r="U82"/>
  <c r="U84"/>
  <c r="U86"/>
  <c r="U88"/>
  <c r="U55"/>
  <c r="U57"/>
  <c r="U59"/>
  <c r="U61"/>
  <c r="U63"/>
  <c r="U65"/>
  <c r="U67"/>
  <c r="U69"/>
  <c r="U43"/>
  <c r="U45"/>
  <c r="U47"/>
  <c r="U49"/>
  <c r="U51"/>
  <c r="U53"/>
  <c r="U23"/>
  <c r="U25"/>
  <c r="U27"/>
  <c r="U29"/>
  <c r="U31"/>
  <c r="U33"/>
  <c r="U35"/>
  <c r="U37"/>
  <c r="U39"/>
  <c r="U41"/>
  <c r="U22"/>
  <c r="U20"/>
  <c r="U18"/>
  <c r="U16"/>
  <c r="U14"/>
  <c r="U12"/>
  <c r="U9"/>
  <c r="U7"/>
  <c r="U4"/>
  <c r="U142"/>
  <c r="U146"/>
  <c r="U128"/>
  <c r="U130"/>
  <c r="U132"/>
  <c r="U106"/>
  <c r="U108"/>
  <c r="U110"/>
  <c r="U114"/>
  <c r="U117"/>
  <c r="U120"/>
  <c r="U123"/>
  <c r="U91"/>
  <c r="U93"/>
  <c r="U95"/>
  <c r="U99"/>
  <c r="U101"/>
  <c r="U103"/>
  <c r="U71"/>
  <c r="U73"/>
  <c r="U75"/>
  <c r="U77"/>
  <c r="U79"/>
  <c r="U81"/>
  <c r="U83"/>
  <c r="U85"/>
  <c r="U87"/>
  <c r="U89"/>
  <c r="U56"/>
  <c r="U58"/>
  <c r="U60"/>
  <c r="U62"/>
  <c r="U64"/>
  <c r="U66"/>
  <c r="U68"/>
  <c r="U70"/>
  <c r="U44"/>
  <c r="U46"/>
  <c r="U48"/>
  <c r="U50"/>
  <c r="U52"/>
  <c r="U54"/>
  <c r="U24"/>
  <c r="U26"/>
  <c r="U28"/>
  <c r="U30"/>
  <c r="U32"/>
  <c r="U34"/>
  <c r="U36"/>
  <c r="U38"/>
  <c r="U40"/>
  <c r="U42"/>
  <c r="U21"/>
  <c r="U19"/>
  <c r="U17"/>
  <c r="U15"/>
  <c r="U13"/>
  <c r="U10"/>
  <c r="U8"/>
  <c r="U5"/>
  <c r="U3"/>
  <c r="V3" i="14"/>
  <c r="V5"/>
  <c r="V7"/>
  <c r="V9"/>
  <c r="V11"/>
  <c r="V13"/>
  <c r="V15"/>
  <c r="V17"/>
  <c r="V19"/>
  <c r="V21"/>
  <c r="E22"/>
  <c r="G22"/>
  <c r="I22"/>
  <c r="K22"/>
  <c r="M22"/>
  <c r="O22"/>
  <c r="Q22"/>
  <c r="S22"/>
  <c r="U22"/>
  <c r="W22"/>
  <c r="Y22"/>
  <c r="AA22"/>
  <c r="V26"/>
  <c r="V28"/>
  <c r="V4"/>
  <c r="V6"/>
  <c r="V8"/>
  <c r="V10"/>
  <c r="V12"/>
  <c r="V14"/>
  <c r="V16"/>
  <c r="V18"/>
  <c r="V20"/>
  <c r="D22"/>
  <c r="F22"/>
  <c r="H22"/>
  <c r="J22"/>
  <c r="L22"/>
  <c r="N22"/>
  <c r="P22"/>
  <c r="R22"/>
  <c r="T22"/>
  <c r="V22"/>
  <c r="X22"/>
  <c r="Z22"/>
  <c r="AB22"/>
  <c r="V24"/>
  <c r="V25"/>
  <c r="V27"/>
  <c r="C22"/>
  <c r="X161" i="1"/>
  <c r="V3" i="15" s="1"/>
  <c r="Y161" i="1"/>
  <c r="Y162"/>
  <c r="Z47" i="15"/>
  <c r="Z65"/>
  <c r="Z69"/>
  <c r="Z75"/>
  <c r="Z79"/>
  <c r="Z102"/>
  <c r="Z106"/>
  <c r="Z109"/>
  <c r="Z60"/>
  <c r="Z67"/>
  <c r="Z71"/>
  <c r="Z78"/>
  <c r="Z88"/>
  <c r="Z103"/>
  <c r="Z107"/>
  <c r="Z4"/>
  <c r="Z5"/>
  <c r="Z32"/>
  <c r="Z9"/>
  <c r="Z20"/>
  <c r="Z22"/>
  <c r="Z39"/>
  <c r="Z8"/>
  <c r="Z15"/>
  <c r="Z33"/>
  <c r="Z34"/>
  <c r="Z37"/>
  <c r="Z41"/>
  <c r="Z113"/>
  <c r="Z117"/>
  <c r="Z118"/>
  <c r="Z120"/>
  <c r="Z123"/>
  <c r="Z127"/>
  <c r="Z130"/>
  <c r="Z131"/>
  <c r="Z145"/>
  <c r="Z137"/>
  <c r="AA60"/>
  <c r="AA67"/>
  <c r="AA71"/>
  <c r="AA78"/>
  <c r="AA88"/>
  <c r="AA103"/>
  <c r="AA107"/>
  <c r="AA4"/>
  <c r="AA47"/>
  <c r="AA65"/>
  <c r="AA69"/>
  <c r="AA75"/>
  <c r="AA79"/>
  <c r="AA102"/>
  <c r="AA106"/>
  <c r="AA109"/>
  <c r="AA8"/>
  <c r="AA9"/>
  <c r="AA15"/>
  <c r="AA20"/>
  <c r="AA22"/>
  <c r="AA32"/>
  <c r="AA33"/>
  <c r="AA34"/>
  <c r="AA37"/>
  <c r="AA41"/>
  <c r="AA5"/>
  <c r="AA39"/>
  <c r="AA123"/>
  <c r="AA127"/>
  <c r="AA113"/>
  <c r="AA118"/>
  <c r="AA137"/>
  <c r="AA117"/>
  <c r="AA120"/>
  <c r="AA130"/>
  <c r="AA131"/>
  <c r="AA145"/>
  <c r="AB47"/>
  <c r="AB65"/>
  <c r="AB69"/>
  <c r="AB75"/>
  <c r="AB79"/>
  <c r="AB102"/>
  <c r="AB106"/>
  <c r="AB109"/>
  <c r="AB60"/>
  <c r="AB67"/>
  <c r="AB71"/>
  <c r="AB78"/>
  <c r="AB88"/>
  <c r="AB103"/>
  <c r="AB107"/>
  <c r="AB4"/>
  <c r="AB5"/>
  <c r="AB8"/>
  <c r="AB15"/>
  <c r="AB39"/>
  <c r="AB9"/>
  <c r="AB20"/>
  <c r="AB22"/>
  <c r="AB32"/>
  <c r="AB33"/>
  <c r="AB34"/>
  <c r="AB37"/>
  <c r="AB41"/>
  <c r="AB113"/>
  <c r="AB117"/>
  <c r="AB118"/>
  <c r="AB120"/>
  <c r="AB130"/>
  <c r="AB131"/>
  <c r="AB145"/>
  <c r="AB123"/>
  <c r="AB127"/>
  <c r="AB137"/>
  <c r="W142" l="1"/>
  <c r="W131"/>
  <c r="W118"/>
  <c r="W107"/>
  <c r="W96"/>
  <c r="W88"/>
  <c r="W80"/>
  <c r="W70"/>
  <c r="W132"/>
  <c r="W128"/>
  <c r="W120"/>
  <c r="W114"/>
  <c r="W108"/>
  <c r="W103"/>
  <c r="W99"/>
  <c r="W93"/>
  <c r="W89"/>
  <c r="W85"/>
  <c r="W81"/>
  <c r="W77"/>
  <c r="W73"/>
  <c r="W69"/>
  <c r="W65"/>
  <c r="W61"/>
  <c r="W57"/>
  <c r="W53"/>
  <c r="W49"/>
  <c r="W45"/>
  <c r="W41"/>
  <c r="W37"/>
  <c r="W33"/>
  <c r="W29"/>
  <c r="W25"/>
  <c r="W21"/>
  <c r="W17"/>
  <c r="W13"/>
  <c r="W8"/>
  <c r="W145"/>
  <c r="W122"/>
  <c r="W109"/>
  <c r="W100"/>
  <c r="W90"/>
  <c r="W82"/>
  <c r="W74"/>
  <c r="W68"/>
  <c r="W64"/>
  <c r="W60"/>
  <c r="W56"/>
  <c r="W52"/>
  <c r="W48"/>
  <c r="W44"/>
  <c r="W40"/>
  <c r="W36"/>
  <c r="W32"/>
  <c r="W28"/>
  <c r="W24"/>
  <c r="W20"/>
  <c r="W16"/>
  <c r="W12"/>
  <c r="W7"/>
  <c r="W137"/>
  <c r="W127"/>
  <c r="W113"/>
  <c r="W102"/>
  <c r="W92"/>
  <c r="W84"/>
  <c r="W76"/>
  <c r="W146"/>
  <c r="W130"/>
  <c r="W123"/>
  <c r="W117"/>
  <c r="W110"/>
  <c r="W106"/>
  <c r="W101"/>
  <c r="W95"/>
  <c r="W91"/>
  <c r="W87"/>
  <c r="W83"/>
  <c r="W79"/>
  <c r="W75"/>
  <c r="W71"/>
  <c r="W67"/>
  <c r="W63"/>
  <c r="W59"/>
  <c r="W55"/>
  <c r="W51"/>
  <c r="W47"/>
  <c r="W43"/>
  <c r="W39"/>
  <c r="W35"/>
  <c r="W31"/>
  <c r="W27"/>
  <c r="W23"/>
  <c r="W19"/>
  <c r="W15"/>
  <c r="W10"/>
  <c r="W5"/>
  <c r="W129"/>
  <c r="W115"/>
  <c r="W104"/>
  <c r="W94"/>
  <c r="W86"/>
  <c r="W78"/>
  <c r="W72"/>
  <c r="W66"/>
  <c r="W62"/>
  <c r="W58"/>
  <c r="W54"/>
  <c r="W50"/>
  <c r="W46"/>
  <c r="W42"/>
  <c r="W38"/>
  <c r="W34"/>
  <c r="W30"/>
  <c r="W26"/>
  <c r="W22"/>
  <c r="W18"/>
  <c r="W14"/>
  <c r="W9"/>
  <c r="W4"/>
  <c r="V142"/>
  <c r="V7"/>
  <c r="V12"/>
  <c r="V16"/>
  <c r="V20"/>
  <c r="V41"/>
  <c r="V37"/>
  <c r="V33"/>
  <c r="V29"/>
  <c r="V25"/>
  <c r="V53"/>
  <c r="V49"/>
  <c r="V45"/>
  <c r="V69"/>
  <c r="V65"/>
  <c r="V61"/>
  <c r="V57"/>
  <c r="V88"/>
  <c r="V84"/>
  <c r="V80"/>
  <c r="V76"/>
  <c r="V72"/>
  <c r="V102"/>
  <c r="V96"/>
  <c r="V92"/>
  <c r="V122"/>
  <c r="V115"/>
  <c r="V109"/>
  <c r="V137"/>
  <c r="V129"/>
  <c r="V145"/>
  <c r="V8"/>
  <c r="V13"/>
  <c r="V17"/>
  <c r="V21"/>
  <c r="V40"/>
  <c r="V36"/>
  <c r="V32"/>
  <c r="V28"/>
  <c r="V24"/>
  <c r="V52"/>
  <c r="V48"/>
  <c r="V44"/>
  <c r="V68"/>
  <c r="V64"/>
  <c r="V60"/>
  <c r="V56"/>
  <c r="V87"/>
  <c r="V83"/>
  <c r="V79"/>
  <c r="V75"/>
  <c r="V71"/>
  <c r="V101"/>
  <c r="V95"/>
  <c r="V91"/>
  <c r="V120"/>
  <c r="V114"/>
  <c r="V108"/>
  <c r="V132"/>
  <c r="V128"/>
  <c r="V4"/>
  <c r="V9"/>
  <c r="V14"/>
  <c r="V18"/>
  <c r="V22"/>
  <c r="V39"/>
  <c r="V35"/>
  <c r="V31"/>
  <c r="V27"/>
  <c r="V23"/>
  <c r="V51"/>
  <c r="V47"/>
  <c r="V43"/>
  <c r="V67"/>
  <c r="V63"/>
  <c r="V59"/>
  <c r="V55"/>
  <c r="V86"/>
  <c r="V82"/>
  <c r="V78"/>
  <c r="V74"/>
  <c r="V104"/>
  <c r="V100"/>
  <c r="V94"/>
  <c r="V90"/>
  <c r="V118"/>
  <c r="V113"/>
  <c r="V107"/>
  <c r="V131"/>
  <c r="V127"/>
  <c r="V5"/>
  <c r="V10"/>
  <c r="V15"/>
  <c r="V19"/>
  <c r="V42"/>
  <c r="V38"/>
  <c r="V34"/>
  <c r="V30"/>
  <c r="V26"/>
  <c r="V54"/>
  <c r="V50"/>
  <c r="V46"/>
  <c r="V70"/>
  <c r="V66"/>
  <c r="V62"/>
  <c r="V58"/>
  <c r="V89"/>
  <c r="V85"/>
  <c r="V81"/>
  <c r="V77"/>
  <c r="V73"/>
  <c r="V103"/>
  <c r="V99"/>
  <c r="V93"/>
  <c r="V123"/>
  <c r="V117"/>
  <c r="V110"/>
  <c r="V106"/>
  <c r="V130"/>
  <c r="V146"/>
  <c r="W3"/>
  <c r="W4" i="14"/>
  <c r="W6"/>
  <c r="W8"/>
  <c r="W10"/>
  <c r="W12"/>
  <c r="W14"/>
  <c r="W16"/>
  <c r="W18"/>
  <c r="W20"/>
  <c r="D23"/>
  <c r="F23"/>
  <c r="H23"/>
  <c r="J23"/>
  <c r="L23"/>
  <c r="N23"/>
  <c r="P23"/>
  <c r="R23"/>
  <c r="T23"/>
  <c r="V23"/>
  <c r="X23"/>
  <c r="Z23"/>
  <c r="AB23"/>
  <c r="W25"/>
  <c r="W27"/>
  <c r="C23"/>
  <c r="W24"/>
  <c r="W3"/>
  <c r="W5"/>
  <c r="W7"/>
  <c r="W9"/>
  <c r="W11"/>
  <c r="W13"/>
  <c r="W15"/>
  <c r="W17"/>
  <c r="W19"/>
  <c r="W21"/>
  <c r="E23"/>
  <c r="G23"/>
  <c r="I23"/>
  <c r="K23"/>
  <c r="M23"/>
  <c r="O23"/>
  <c r="Q23"/>
  <c r="S23"/>
  <c r="U23"/>
  <c r="W23"/>
  <c r="Y23"/>
  <c r="AA23"/>
  <c r="W26"/>
  <c r="W28"/>
</calcChain>
</file>

<file path=xl/sharedStrings.xml><?xml version="1.0" encoding="utf-8"?>
<sst xmlns="http://schemas.openxmlformats.org/spreadsheetml/2006/main" count="2883" uniqueCount="92">
  <si>
    <t>NC</t>
  </si>
  <si>
    <t>rev</t>
  </si>
  <si>
    <t>°</t>
  </si>
  <si>
    <t>N</t>
  </si>
  <si>
    <t>µm</t>
  </si>
  <si>
    <t>VB max</t>
  </si>
  <si>
    <t>VB av</t>
  </si>
  <si>
    <t>0429E4</t>
  </si>
  <si>
    <t>0429E2</t>
  </si>
  <si>
    <t>Trial</t>
  </si>
  <si>
    <t>Edge</t>
  </si>
  <si>
    <t>0374E3</t>
  </si>
  <si>
    <t>-</t>
  </si>
  <si>
    <t>ref</t>
  </si>
  <si>
    <t>0244E1</t>
  </si>
  <si>
    <t>0025E4</t>
  </si>
  <si>
    <t>0025E2</t>
  </si>
  <si>
    <t>N°</t>
  </si>
  <si>
    <t>0532E1</t>
  </si>
  <si>
    <t>0532E4</t>
  </si>
  <si>
    <t>Rt</t>
  </si>
  <si>
    <t>Ra</t>
  </si>
  <si>
    <t>Curve</t>
  </si>
  <si>
    <t>0575E2</t>
  </si>
  <si>
    <t>0575E4</t>
  </si>
  <si>
    <t>0639E1</t>
  </si>
  <si>
    <t>0639E4</t>
  </si>
  <si>
    <t>0699E2</t>
  </si>
  <si>
    <t>0699E3</t>
  </si>
  <si>
    <t>Fact1</t>
  </si>
  <si>
    <t>Fact2</t>
  </si>
  <si>
    <t>Fact3</t>
  </si>
  <si>
    <t>X</t>
  </si>
  <si>
    <t>σ</t>
  </si>
  <si>
    <t>Vb max</t>
  </si>
  <si>
    <t>%info</t>
  </si>
  <si>
    <t>Fz av</t>
  </si>
  <si>
    <t>Fz max</t>
  </si>
  <si>
    <t>N max</t>
  </si>
  <si>
    <t>N av</t>
  </si>
  <si>
    <t>P av</t>
  </si>
  <si>
    <t>P max</t>
  </si>
  <si>
    <t>η</t>
  </si>
  <si>
    <t>β</t>
  </si>
  <si>
    <t>μe</t>
  </si>
  <si>
    <r>
      <rPr>
        <b/>
        <sz val="11"/>
        <color theme="0"/>
        <rFont val="Calibri"/>
        <family val="2"/>
      </rPr>
      <t>λ</t>
    </r>
    <r>
      <rPr>
        <b/>
        <sz val="11"/>
        <color theme="0"/>
        <rFont val="Calibri"/>
        <family val="2"/>
        <scheme val="minor"/>
      </rPr>
      <t xml:space="preserve"> av</t>
    </r>
  </si>
  <si>
    <r>
      <rPr>
        <b/>
        <sz val="11"/>
        <color theme="0"/>
        <rFont val="Calibri"/>
        <family val="2"/>
      </rPr>
      <t>λ</t>
    </r>
    <r>
      <rPr>
        <b/>
        <sz val="11"/>
        <color theme="0"/>
        <rFont val="Calibri"/>
        <family val="2"/>
        <scheme val="minor"/>
      </rPr>
      <t xml:space="preserve"> max</t>
    </r>
  </si>
  <si>
    <t>R av</t>
  </si>
  <si>
    <t>R max</t>
  </si>
  <si>
    <t>λ av</t>
  </si>
  <si>
    <t>λ max</t>
  </si>
  <si>
    <t>Eval</t>
  </si>
  <si>
    <t>info %</t>
  </si>
  <si>
    <t>Matrice réduite</t>
  </si>
  <si>
    <t>0699E1</t>
  </si>
  <si>
    <t>Fpav</t>
  </si>
  <si>
    <t>Fs av</t>
  </si>
  <si>
    <t>Fs max</t>
  </si>
  <si>
    <t>Fpmax</t>
  </si>
  <si>
    <t>Fpnav</t>
  </si>
  <si>
    <t>Fpn max</t>
  </si>
  <si>
    <t>Fp av</t>
  </si>
  <si>
    <t>Fp max</t>
  </si>
  <si>
    <t>Fpn av</t>
  </si>
  <si>
    <t>RC</t>
  </si>
  <si>
    <t>!See courbes_corr_vbmax</t>
  </si>
  <si>
    <t>Considering VB max</t>
  </si>
  <si>
    <t>RC calculus</t>
  </si>
  <si>
    <t>RC (max)</t>
  </si>
  <si>
    <t>f(RC (max))</t>
  </si>
  <si>
    <t xml:space="preserve">                                                                                                                                                                               Results</t>
  </si>
  <si>
    <t xml:space="preserve">                                                                                                                                                        Correlation Matrix</t>
  </si>
  <si>
    <t>Comparison between VB max measured and f(RC) [extended values]</t>
  </si>
  <si>
    <t>EAA av</t>
  </si>
  <si>
    <t>EAA max</t>
  </si>
  <si>
    <t xml:space="preserve">                                                                                                                                                          Centered Matrix</t>
  </si>
  <si>
    <t>RC: Relevant Criterion considering VB max</t>
  </si>
  <si>
    <t>VB max= f(CP) = x(insert)*RC - y(insert)</t>
  </si>
  <si>
    <t>av</t>
  </si>
  <si>
    <t>abrasive flow machining</t>
  </si>
  <si>
    <t>dragging</t>
  </si>
  <si>
    <t>reference</t>
  </si>
  <si>
    <t>abrasive blasting</t>
  </si>
  <si>
    <t>magneto-abrasive machining</t>
  </si>
  <si>
    <t>brushing</t>
  </si>
  <si>
    <t>laser machining</t>
  </si>
  <si>
    <t>honing</t>
  </si>
  <si>
    <t>Fact3 bis</t>
  </si>
  <si>
    <t>RC= 0,865*Fz max+0,814*R max-0,789*EAA max</t>
  </si>
  <si>
    <t>corr %</t>
  </si>
  <si>
    <t>Eigenvalues</t>
  </si>
  <si>
    <t>Eigenvectors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</si>
</sst>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7F325"/>
        <bgColor indexed="64"/>
      </patternFill>
    </fill>
    <fill>
      <patternFill patternType="solid">
        <fgColor rgb="FFF9F7A9"/>
        <bgColor indexed="64"/>
      </patternFill>
    </fill>
    <fill>
      <patternFill patternType="solid">
        <fgColor rgb="FFF4F05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F16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A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10" borderId="1" xfId="0" applyNumberFormat="1" applyFill="1" applyBorder="1"/>
    <xf numFmtId="49" fontId="0" fillId="11" borderId="1" xfId="0" applyNumberFormat="1" applyFill="1" applyBorder="1"/>
    <xf numFmtId="49" fontId="0" fillId="9" borderId="1" xfId="0" applyNumberFormat="1" applyFill="1" applyBorder="1"/>
    <xf numFmtId="49" fontId="0" fillId="8" borderId="1" xfId="0" applyNumberFormat="1" applyFill="1" applyBorder="1"/>
    <xf numFmtId="49" fontId="0" fillId="12" borderId="1" xfId="0" applyNumberFormat="1" applyFill="1" applyBorder="1"/>
    <xf numFmtId="49" fontId="0" fillId="13" borderId="1" xfId="0" applyNumberFormat="1" applyFill="1" applyBorder="1"/>
    <xf numFmtId="49" fontId="0" fillId="14" borderId="1" xfId="0" applyNumberFormat="1" applyFill="1" applyBorder="1"/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49" fontId="1" fillId="16" borderId="1" xfId="0" applyNumberFormat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20" borderId="1" xfId="0" applyNumberFormat="1" applyFill="1" applyBorder="1"/>
    <xf numFmtId="0" fontId="0" fillId="21" borderId="1" xfId="0" applyFill="1" applyBorder="1" applyAlignment="1">
      <alignment horizontal="center"/>
    </xf>
    <xf numFmtId="49" fontId="0" fillId="21" borderId="1" xfId="0" applyNumberFormat="1" applyFill="1" applyBorder="1"/>
    <xf numFmtId="11" fontId="0" fillId="0" borderId="0" xfId="0" applyNumberFormat="1"/>
    <xf numFmtId="11" fontId="1" fillId="15" borderId="1" xfId="0" applyNumberFormat="1" applyFont="1" applyFill="1" applyBorder="1" applyAlignment="1">
      <alignment horizontal="center"/>
    </xf>
    <xf numFmtId="11" fontId="1" fillId="15" borderId="0" xfId="0" applyNumberFormat="1" applyFont="1" applyFill="1" applyAlignment="1">
      <alignment horizontal="right"/>
    </xf>
    <xf numFmtId="2" fontId="0" fillId="4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21" borderId="1" xfId="0" applyNumberFormat="1" applyFill="1" applyBorder="1" applyAlignment="1">
      <alignment horizontal="center"/>
    </xf>
    <xf numFmtId="2" fontId="0" fillId="20" borderId="1" xfId="0" applyNumberFormat="1" applyFill="1" applyBorder="1" applyAlignment="1">
      <alignment horizontal="center"/>
    </xf>
    <xf numFmtId="164" fontId="0" fillId="0" borderId="0" xfId="0" applyNumberFormat="1" applyFill="1"/>
    <xf numFmtId="164" fontId="0" fillId="0" borderId="0" xfId="0" applyNumberFormat="1"/>
    <xf numFmtId="0" fontId="0" fillId="0" borderId="2" xfId="0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164" fontId="0" fillId="24" borderId="1" xfId="0" applyNumberFormat="1" applyFill="1" applyBorder="1" applyAlignment="1">
      <alignment horizontal="center"/>
    </xf>
    <xf numFmtId="11" fontId="1" fillId="0" borderId="0" xfId="0" applyNumberFormat="1" applyFont="1" applyFill="1" applyBorder="1" applyAlignment="1">
      <alignment horizontal="center"/>
    </xf>
    <xf numFmtId="11" fontId="1" fillId="0" borderId="0" xfId="0" applyNumberFormat="1" applyFont="1" applyFill="1" applyBorder="1" applyAlignment="1">
      <alignment horizontal="right"/>
    </xf>
    <xf numFmtId="2" fontId="0" fillId="0" borderId="0" xfId="0" applyNumberFormat="1"/>
    <xf numFmtId="0" fontId="3" fillId="25" borderId="9" xfId="0" applyFont="1" applyFill="1" applyBorder="1" applyAlignment="1">
      <alignment horizontal="center"/>
    </xf>
    <xf numFmtId="0" fontId="0" fillId="19" borderId="7" xfId="0" applyFont="1" applyFill="1" applyBorder="1" applyAlignment="1">
      <alignment horizontal="center"/>
    </xf>
    <xf numFmtId="2" fontId="0" fillId="21" borderId="8" xfId="0" applyNumberFormat="1" applyFill="1" applyBorder="1" applyAlignment="1">
      <alignment horizontal="center"/>
    </xf>
    <xf numFmtId="2" fontId="0" fillId="26" borderId="10" xfId="0" applyNumberFormat="1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2" fontId="0" fillId="27" borderId="0" xfId="0" applyNumberFormat="1" applyFill="1"/>
    <xf numFmtId="2" fontId="0" fillId="27" borderId="0" xfId="0" applyNumberFormat="1" applyFill="1" applyAlignment="1">
      <alignment vertical="top"/>
    </xf>
    <xf numFmtId="0" fontId="0" fillId="0" borderId="0" xfId="0" applyBorder="1"/>
    <xf numFmtId="0" fontId="0" fillId="0" borderId="0" xfId="0" applyFill="1" applyBorder="1"/>
    <xf numFmtId="0" fontId="0" fillId="30" borderId="0" xfId="0" applyFill="1"/>
    <xf numFmtId="0" fontId="1" fillId="15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164" fontId="0" fillId="0" borderId="0" xfId="0" applyNumberFormat="1" applyFont="1" applyFill="1" applyBorder="1"/>
    <xf numFmtId="164" fontId="0" fillId="0" borderId="0" xfId="0" applyNumberFormat="1" applyFill="1" applyBorder="1"/>
    <xf numFmtId="2" fontId="0" fillId="0" borderId="0" xfId="0" applyNumberFormat="1" applyFill="1" applyBorder="1"/>
    <xf numFmtId="0" fontId="10" fillId="0" borderId="0" xfId="0" applyFont="1"/>
    <xf numFmtId="164" fontId="9" fillId="0" borderId="0" xfId="0" applyNumberFormat="1" applyFont="1" applyFill="1" applyAlignment="1">
      <alignment horizontal="right"/>
    </xf>
    <xf numFmtId="164" fontId="1" fillId="23" borderId="0" xfId="0" applyNumberFormat="1" applyFont="1" applyFill="1" applyAlignment="1">
      <alignment horizontal="right"/>
    </xf>
    <xf numFmtId="164" fontId="9" fillId="0" borderId="0" xfId="0" applyNumberFormat="1" applyFont="1" applyFill="1" applyBorder="1"/>
    <xf numFmtId="164" fontId="9" fillId="0" borderId="0" xfId="0" applyNumberFormat="1" applyFont="1"/>
    <xf numFmtId="11" fontId="1" fillId="15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/>
    <xf numFmtId="164" fontId="10" fillId="0" borderId="0" xfId="0" applyNumberFormat="1" applyFont="1" applyFill="1" applyBorder="1"/>
    <xf numFmtId="164" fontId="0" fillId="0" borderId="0" xfId="0" applyNumberFormat="1" applyFill="1" applyBorder="1" applyAlignment="1"/>
    <xf numFmtId="164" fontId="0" fillId="0" borderId="0" xfId="0" applyNumberFormat="1" applyFont="1" applyFill="1" applyBorder="1" applyAlignment="1"/>
    <xf numFmtId="0" fontId="1" fillId="15" borderId="11" xfId="0" applyFont="1" applyFill="1" applyBorder="1" applyAlignment="1">
      <alignment horizontal="center"/>
    </xf>
    <xf numFmtId="164" fontId="9" fillId="0" borderId="0" xfId="0" applyNumberFormat="1" applyFont="1" applyFill="1" applyBorder="1" applyAlignment="1"/>
    <xf numFmtId="164" fontId="0" fillId="4" borderId="1" xfId="0" applyNumberFormat="1" applyFill="1" applyBorder="1" applyAlignment="1">
      <alignment horizontal="center"/>
    </xf>
    <xf numFmtId="164" fontId="1" fillId="15" borderId="1" xfId="0" applyNumberFormat="1" applyFont="1" applyFill="1" applyBorder="1" applyAlignment="1">
      <alignment horizontal="center"/>
    </xf>
    <xf numFmtId="164" fontId="1" fillId="16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21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26" borderId="8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11" fontId="11" fillId="15" borderId="0" xfId="0" applyNumberFormat="1" applyFont="1" applyFill="1" applyAlignment="1">
      <alignment horizontal="right"/>
    </xf>
    <xf numFmtId="0" fontId="11" fillId="15" borderId="4" xfId="0" applyFont="1" applyFill="1" applyBorder="1" applyAlignment="1">
      <alignment horizontal="right"/>
    </xf>
    <xf numFmtId="0" fontId="11" fillId="15" borderId="15" xfId="0" applyFont="1" applyFill="1" applyBorder="1" applyAlignment="1">
      <alignment horizontal="right"/>
    </xf>
    <xf numFmtId="164" fontId="9" fillId="0" borderId="0" xfId="0" applyNumberFormat="1" applyFont="1" applyBorder="1"/>
    <xf numFmtId="164" fontId="1" fillId="23" borderId="0" xfId="0" applyNumberFormat="1" applyFont="1" applyFill="1" applyBorder="1" applyAlignment="1">
      <alignment horizontal="right"/>
    </xf>
    <xf numFmtId="0" fontId="1" fillId="15" borderId="11" xfId="0" applyFont="1" applyFill="1" applyBorder="1" applyAlignment="1">
      <alignment horizontal="right"/>
    </xf>
    <xf numFmtId="11" fontId="1" fillId="15" borderId="10" xfId="0" applyNumberFormat="1" applyFont="1" applyFill="1" applyBorder="1" applyAlignment="1">
      <alignment horizontal="right"/>
    </xf>
    <xf numFmtId="164" fontId="9" fillId="0" borderId="14" xfId="0" applyNumberFormat="1" applyFont="1" applyBorder="1"/>
    <xf numFmtId="164" fontId="1" fillId="23" borderId="14" xfId="0" applyNumberFormat="1" applyFont="1" applyFill="1" applyBorder="1" applyAlignment="1">
      <alignment horizontal="right"/>
    </xf>
    <xf numFmtId="164" fontId="9" fillId="0" borderId="17" xfId="0" applyNumberFormat="1" applyFont="1" applyBorder="1"/>
    <xf numFmtId="11" fontId="1" fillId="15" borderId="13" xfId="0" applyNumberFormat="1" applyFont="1" applyFill="1" applyBorder="1" applyAlignment="1">
      <alignment horizontal="right"/>
    </xf>
    <xf numFmtId="164" fontId="9" fillId="0" borderId="16" xfId="0" applyNumberFormat="1" applyFont="1" applyBorder="1"/>
    <xf numFmtId="164" fontId="1" fillId="23" borderId="16" xfId="0" applyNumberFormat="1" applyFont="1" applyFill="1" applyBorder="1" applyAlignment="1">
      <alignment horizontal="right"/>
    </xf>
    <xf numFmtId="164" fontId="9" fillId="0" borderId="18" xfId="0" applyNumberFormat="1" applyFont="1" applyBorder="1"/>
    <xf numFmtId="164" fontId="9" fillId="19" borderId="14" xfId="0" applyNumberFormat="1" applyFont="1" applyFill="1" applyBorder="1"/>
    <xf numFmtId="164" fontId="9" fillId="2" borderId="16" xfId="0" applyNumberFormat="1" applyFont="1" applyFill="1" applyBorder="1"/>
    <xf numFmtId="164" fontId="9" fillId="18" borderId="14" xfId="0" applyNumberFormat="1" applyFont="1" applyFill="1" applyBorder="1"/>
    <xf numFmtId="164" fontId="9" fillId="22" borderId="16" xfId="0" applyNumberFormat="1" applyFont="1" applyFill="1" applyBorder="1"/>
    <xf numFmtId="164" fontId="9" fillId="18" borderId="0" xfId="0" applyNumberFormat="1" applyFont="1" applyFill="1" applyAlignment="1">
      <alignment horizontal="right"/>
    </xf>
    <xf numFmtId="164" fontId="10" fillId="18" borderId="0" xfId="0" applyNumberFormat="1" applyFont="1" applyFill="1" applyAlignment="1">
      <alignment horizontal="right"/>
    </xf>
    <xf numFmtId="0" fontId="8" fillId="31" borderId="12" xfId="0" applyFont="1" applyFill="1" applyBorder="1" applyAlignment="1">
      <alignment horizontal="center" vertical="center" textRotation="90"/>
    </xf>
    <xf numFmtId="0" fontId="1" fillId="17" borderId="2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8" fillId="31" borderId="0" xfId="0" applyFont="1" applyFill="1" applyBorder="1" applyAlignment="1">
      <alignment horizontal="center" vertical="center" textRotation="90"/>
    </xf>
    <xf numFmtId="49" fontId="0" fillId="7" borderId="5" xfId="0" applyNumberFormat="1" applyFill="1" applyBorder="1" applyAlignment="1">
      <alignment horizontal="center"/>
    </xf>
    <xf numFmtId="49" fontId="0" fillId="7" borderId="6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14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0" fontId="2" fillId="28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1" fillId="30" borderId="0" xfId="0" applyFont="1" applyFill="1" applyAlignment="1">
      <alignment horizontal="left"/>
    </xf>
    <xf numFmtId="0" fontId="2" fillId="19" borderId="0" xfId="0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49" fontId="0" fillId="20" borderId="5" xfId="0" applyNumberFormat="1" applyFill="1" applyBorder="1" applyAlignment="1">
      <alignment horizontal="center"/>
    </xf>
    <xf numFmtId="49" fontId="0" fillId="20" borderId="6" xfId="0" applyNumberFormat="1" applyFill="1" applyBorder="1" applyAlignment="1">
      <alignment horizontal="center"/>
    </xf>
    <xf numFmtId="49" fontId="0" fillId="21" borderId="5" xfId="0" applyNumberFormat="1" applyFill="1" applyBorder="1" applyAlignment="1">
      <alignment horizontal="center" vertical="top"/>
    </xf>
    <xf numFmtId="49" fontId="0" fillId="21" borderId="6" xfId="0" applyNumberFormat="1" applyFill="1" applyBorder="1" applyAlignment="1">
      <alignment horizontal="center" vertical="top"/>
    </xf>
    <xf numFmtId="49" fontId="0" fillId="8" borderId="1" xfId="0" applyNumberFormat="1" applyFill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49" fontId="0" fillId="6" borderId="6" xfId="0" applyNumberFormat="1" applyFill="1" applyBorder="1" applyAlignment="1">
      <alignment horizontal="center"/>
    </xf>
    <xf numFmtId="49" fontId="0" fillId="12" borderId="5" xfId="0" applyNumberFormat="1" applyFill="1" applyBorder="1" applyAlignment="1">
      <alignment horizontal="center"/>
    </xf>
    <xf numFmtId="49" fontId="0" fillId="12" borderId="6" xfId="0" applyNumberFormat="1" applyFill="1" applyBorder="1" applyAlignment="1">
      <alignment horizontal="center"/>
    </xf>
    <xf numFmtId="49" fontId="0" fillId="13" borderId="5" xfId="0" applyNumberFormat="1" applyFill="1" applyBorder="1" applyAlignment="1">
      <alignment horizontal="center"/>
    </xf>
    <xf numFmtId="49" fontId="0" fillId="13" borderId="6" xfId="0" applyNumberFormat="1" applyFill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49" fontId="0" fillId="9" borderId="6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0" fontId="6" fillId="29" borderId="0" xfId="0" applyFont="1" applyFill="1" applyAlignment="1">
      <alignment horizontal="center" textRotation="90"/>
    </xf>
    <xf numFmtId="0" fontId="7" fillId="29" borderId="0" xfId="0" applyFont="1" applyFill="1" applyAlignment="1">
      <alignment horizontal="center" textRotation="90"/>
    </xf>
    <xf numFmtId="0" fontId="4" fillId="30" borderId="0" xfId="0" applyFont="1" applyFill="1" applyAlignment="1">
      <alignment horizontal="right"/>
    </xf>
    <xf numFmtId="49" fontId="0" fillId="3" borderId="5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0" fontId="5" fillId="15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right"/>
    </xf>
    <xf numFmtId="164" fontId="9" fillId="19" borderId="0" xfId="0" applyNumberFormat="1" applyFont="1" applyFill="1" applyAlignment="1">
      <alignment horizontal="right"/>
    </xf>
    <xf numFmtId="164" fontId="9" fillId="19" borderId="0" xfId="0" applyNumberFormat="1" applyFont="1" applyFill="1"/>
    <xf numFmtId="164" fontId="9" fillId="22" borderId="0" xfId="0" applyNumberFormat="1" applyFont="1" applyFill="1"/>
    <xf numFmtId="164" fontId="9" fillId="2" borderId="0" xfId="0" applyNumberFormat="1" applyFont="1" applyFill="1"/>
    <xf numFmtId="0" fontId="2" fillId="6" borderId="0" xfId="0" applyFont="1" applyFill="1" applyAlignment="1"/>
    <xf numFmtId="164" fontId="9" fillId="18" borderId="7" xfId="0" applyNumberFormat="1" applyFont="1" applyFill="1" applyBorder="1" applyAlignment="1">
      <alignment horizontal="right"/>
    </xf>
    <xf numFmtId="164" fontId="9" fillId="19" borderId="7" xfId="0" applyNumberFormat="1" applyFont="1" applyFill="1" applyBorder="1" applyAlignment="1">
      <alignment horizontal="right"/>
    </xf>
    <xf numFmtId="164" fontId="9" fillId="22" borderId="7" xfId="0" applyNumberFormat="1" applyFont="1" applyFill="1" applyBorder="1"/>
    <xf numFmtId="164" fontId="9" fillId="2" borderId="7" xfId="0" applyNumberFormat="1" applyFont="1" applyFill="1" applyBorder="1"/>
    <xf numFmtId="164" fontId="9" fillId="18" borderId="7" xfId="0" applyNumberFormat="1" applyFont="1" applyFill="1" applyBorder="1"/>
    <xf numFmtId="165" fontId="0" fillId="13" borderId="1" xfId="0" applyNumberFormat="1" applyFill="1" applyBorder="1" applyAlignment="1">
      <alignment horizontal="center"/>
    </xf>
    <xf numFmtId="164" fontId="9" fillId="22" borderId="0" xfId="0" applyNumberFormat="1" applyFont="1" applyFill="1" applyAlignment="1">
      <alignment horizontal="right"/>
    </xf>
    <xf numFmtId="0" fontId="2" fillId="6" borderId="0" xfId="0" applyFont="1" applyFill="1" applyAlignment="1">
      <alignment vertical="center"/>
    </xf>
    <xf numFmtId="2" fontId="0" fillId="0" borderId="0" xfId="0" applyNumberFormat="1" applyFont="1" applyFill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7F325"/>
      <color rgb="FFBFF165"/>
      <color rgb="FFFF66CC"/>
      <color rgb="FF7A0000"/>
      <color rgb="FFF9F7A9"/>
      <color rgb="FFF4F05E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 VB max &amp; RC</a:t>
            </a:r>
          </a:p>
          <a:p>
            <a:pPr>
              <a:defRPr/>
            </a:pPr>
            <a:r>
              <a:rPr lang="en-US" sz="1400"/>
              <a:t>abrasive flow machining </a:t>
            </a:r>
          </a:p>
        </c:rich>
      </c:tx>
      <c:layout>
        <c:manualLayout>
          <c:xMode val="edge"/>
          <c:yMode val="edge"/>
          <c:x val="0.15304663840096958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74580747919331236"/>
          <c:h val="0.62294534068075702"/>
        </c:manualLayout>
      </c:layout>
      <c:scatterChart>
        <c:scatterStyle val="lineMarker"/>
        <c:ser>
          <c:idx val="0"/>
          <c:order val="0"/>
          <c:tx>
            <c:v>0025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6054577545052526"/>
                  <c:y val="0.52513114813674755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(vbmax!$C$2:$C$9,vbmax!$C$15:$C$22)</c:f>
              <c:numCache>
                <c:formatCode>0.0000</c:formatCode>
                <c:ptCount val="16"/>
                <c:pt idx="0">
                  <c:v>-1.2944644515298642</c:v>
                </c:pt>
                <c:pt idx="1">
                  <c:v>-1.900407328360235</c:v>
                </c:pt>
                <c:pt idx="2">
                  <c:v>-1.0606517673049223</c:v>
                </c:pt>
                <c:pt idx="3">
                  <c:v>-0.77511639244373098</c:v>
                </c:pt>
                <c:pt idx="4">
                  <c:v>-0.46914503692505316</c:v>
                </c:pt>
                <c:pt idx="5">
                  <c:v>-0.17609278936769568</c:v>
                </c:pt>
                <c:pt idx="6">
                  <c:v>0.14312372935788648</c:v>
                </c:pt>
                <c:pt idx="7">
                  <c:v>2.747294549099073</c:v>
                </c:pt>
                <c:pt idx="8">
                  <c:v>-1.7731625140350491</c:v>
                </c:pt>
                <c:pt idx="9">
                  <c:v>-0.69217348288267666</c:v>
                </c:pt>
                <c:pt idx="10">
                  <c:v>-0.62946711106377307</c:v>
                </c:pt>
                <c:pt idx="11">
                  <c:v>-0.23930523589533798</c:v>
                </c:pt>
                <c:pt idx="12">
                  <c:v>-0.2244594051367732</c:v>
                </c:pt>
                <c:pt idx="13">
                  <c:v>0.23314155224888394</c:v>
                </c:pt>
                <c:pt idx="14">
                  <c:v>0.88221731179052831</c:v>
                </c:pt>
                <c:pt idx="15">
                  <c:v>2.327334548827996</c:v>
                </c:pt>
              </c:numCache>
            </c:numRef>
          </c:xVal>
          <c:yVal>
            <c:numRef>
              <c:f>(vbmax!$B$2:$B$9,vbmax!$B$15:$B$22)</c:f>
              <c:numCache>
                <c:formatCode>0.0000</c:formatCode>
                <c:ptCount val="16"/>
                <c:pt idx="0">
                  <c:v>-0.30249553164201692</c:v>
                </c:pt>
                <c:pt idx="1">
                  <c:v>-0.29325963373632025</c:v>
                </c:pt>
                <c:pt idx="2">
                  <c:v>-0.28367389121298364</c:v>
                </c:pt>
                <c:pt idx="3">
                  <c:v>-0.25850840171741113</c:v>
                </c:pt>
                <c:pt idx="4">
                  <c:v>-0.23798418414919636</c:v>
                </c:pt>
                <c:pt idx="5">
                  <c:v>-0.23394930955908141</c:v>
                </c:pt>
                <c:pt idx="6">
                  <c:v>-0.21272540275558655</c:v>
                </c:pt>
                <c:pt idx="7">
                  <c:v>7.7389077166031328E-2</c:v>
                </c:pt>
                <c:pt idx="8">
                  <c:v>-0.27651373803861778</c:v>
                </c:pt>
                <c:pt idx="9">
                  <c:v>-0.25410035953514681</c:v>
                </c:pt>
                <c:pt idx="10">
                  <c:v>-0.23035757148464381</c:v>
                </c:pt>
                <c:pt idx="11">
                  <c:v>-0.20316298320675921</c:v>
                </c:pt>
                <c:pt idx="12">
                  <c:v>-0.19847506533038289</c:v>
                </c:pt>
                <c:pt idx="13">
                  <c:v>-0.18018985331506426</c:v>
                </c:pt>
                <c:pt idx="14">
                  <c:v>-0.15350837047638505</c:v>
                </c:pt>
                <c:pt idx="15">
                  <c:v>-2.6118283706397332E-2</c:v>
                </c:pt>
              </c:numCache>
            </c:numRef>
          </c:yVal>
        </c:ser>
        <c:axId val="108182528"/>
        <c:axId val="108192512"/>
      </c:scatterChart>
      <c:valAx>
        <c:axId val="108182528"/>
        <c:scaling>
          <c:orientation val="minMax"/>
        </c:scaling>
        <c:axPos val="b"/>
        <c:numFmt formatCode="0.0000" sourceLinked="1"/>
        <c:tickLblPos val="nextTo"/>
        <c:crossAx val="108192512"/>
        <c:crosses val="autoZero"/>
        <c:crossBetween val="midCat"/>
      </c:valAx>
      <c:valAx>
        <c:axId val="108192512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08182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1.7678174843529168E-2"/>
          <c:y val="2.1691897158863421E-2"/>
          <c:w val="0.19532821424617208"/>
          <c:h val="0.19261731270331495"/>
        </c:manualLayout>
      </c:layout>
    </c:legend>
    <c:plotVisOnly val="1"/>
  </c:chart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</a:t>
            </a:r>
          </a:p>
          <a:p>
            <a:pPr>
              <a:defRPr/>
            </a:pPr>
            <a:r>
              <a:rPr lang="en-US" sz="1400"/>
              <a:t>dragging </a:t>
            </a:r>
          </a:p>
        </c:rich>
      </c:tx>
      <c:layout>
        <c:manualLayout>
          <c:xMode val="edge"/>
          <c:yMode val="edge"/>
          <c:x val="0.15304663840096969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74580747919331281"/>
          <c:h val="0.62294534068075724"/>
        </c:manualLayout>
      </c:layout>
      <c:scatterChart>
        <c:scatterStyle val="lineMarker"/>
        <c:ser>
          <c:idx val="0"/>
          <c:order val="0"/>
          <c:tx>
            <c:v>0244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6333587333841335"/>
                  <c:y val="0.56103851246687708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vbmax!$C$27:$C$36</c:f>
              <c:numCache>
                <c:formatCode>0.0000</c:formatCode>
                <c:ptCount val="10"/>
                <c:pt idx="0">
                  <c:v>-2.1594710978261942</c:v>
                </c:pt>
                <c:pt idx="1">
                  <c:v>-2.3554394588087026</c:v>
                </c:pt>
                <c:pt idx="2">
                  <c:v>-2.1034079501973242</c:v>
                </c:pt>
                <c:pt idx="3">
                  <c:v>-1.851593935385683</c:v>
                </c:pt>
                <c:pt idx="4">
                  <c:v>-1.7508322948561066</c:v>
                </c:pt>
                <c:pt idx="5">
                  <c:v>-1.4396218400420642</c:v>
                </c:pt>
                <c:pt idx="6">
                  <c:v>-1.0333232941402086</c:v>
                </c:pt>
                <c:pt idx="7">
                  <c:v>-0.65855749170198097</c:v>
                </c:pt>
                <c:pt idx="8">
                  <c:v>3.7715719416679144E-2</c:v>
                </c:pt>
                <c:pt idx="9">
                  <c:v>3.1950334316235014</c:v>
                </c:pt>
              </c:numCache>
            </c:numRef>
          </c:xVal>
          <c:yVal>
            <c:numRef>
              <c:f>vbmax!$B$27:$B$36</c:f>
              <c:numCache>
                <c:formatCode>0.0000</c:formatCode>
                <c:ptCount val="10"/>
                <c:pt idx="0">
                  <c:v>-0.29923031521071003</c:v>
                </c:pt>
                <c:pt idx="1">
                  <c:v>-0.27679361373272976</c:v>
                </c:pt>
                <c:pt idx="2">
                  <c:v>-0.27163923636616671</c:v>
                </c:pt>
                <c:pt idx="3">
                  <c:v>-0.26114389783696601</c:v>
                </c:pt>
                <c:pt idx="4">
                  <c:v>-0.25225784454890937</c:v>
                </c:pt>
                <c:pt idx="5">
                  <c:v>-0.22774539833959828</c:v>
                </c:pt>
                <c:pt idx="6">
                  <c:v>-0.21634046380453351</c:v>
                </c:pt>
                <c:pt idx="7">
                  <c:v>-0.17734445042492539</c:v>
                </c:pt>
                <c:pt idx="8">
                  <c:v>-0.13547971118066909</c:v>
                </c:pt>
                <c:pt idx="9">
                  <c:v>0.31542335500830426</c:v>
                </c:pt>
              </c:numCache>
            </c:numRef>
          </c:yVal>
        </c:ser>
        <c:axId val="108241664"/>
        <c:axId val="108243200"/>
      </c:scatterChart>
      <c:valAx>
        <c:axId val="108241664"/>
        <c:scaling>
          <c:orientation val="minMax"/>
        </c:scaling>
        <c:axPos val="b"/>
        <c:numFmt formatCode="0.0000" sourceLinked="1"/>
        <c:tickLblPos val="nextTo"/>
        <c:crossAx val="108243200"/>
        <c:crosses val="autoZero"/>
        <c:crossBetween val="midCat"/>
      </c:valAx>
      <c:valAx>
        <c:axId val="108243200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082416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3.4220772031287656E-2"/>
          <c:y val="3.3526213009609403E-2"/>
          <c:w val="0.22179636974658565"/>
          <c:h val="0.21234117245455825"/>
        </c:manualLayout>
      </c:layout>
    </c:legend>
    <c:plotVisOnly val="1"/>
  </c:chart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</a:t>
            </a:r>
          </a:p>
          <a:p>
            <a:pPr>
              <a:defRPr/>
            </a:pPr>
            <a:r>
              <a:rPr lang="en-US" sz="1400"/>
              <a:t>reference </a:t>
            </a:r>
          </a:p>
        </c:rich>
      </c:tx>
      <c:layout>
        <c:manualLayout>
          <c:xMode val="edge"/>
          <c:yMode val="edge"/>
          <c:x val="0.15304663840096977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74580747919331303"/>
          <c:h val="0.62294534068075746"/>
        </c:manualLayout>
      </c:layout>
      <c:scatterChart>
        <c:scatterStyle val="lineMarker"/>
        <c:ser>
          <c:idx val="0"/>
          <c:order val="0"/>
          <c:tx>
            <c:v>0374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845849045544245"/>
                  <c:y val="0.44902531518572575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vbmax!$C$41:$C$50</c:f>
              <c:numCache>
                <c:formatCode>0.0000</c:formatCode>
                <c:ptCount val="10"/>
                <c:pt idx="0">
                  <c:v>-2.7972874176072402</c:v>
                </c:pt>
                <c:pt idx="1">
                  <c:v>-2.5985706477099093</c:v>
                </c:pt>
                <c:pt idx="2">
                  <c:v>-2.0764618262717542</c:v>
                </c:pt>
                <c:pt idx="3">
                  <c:v>-1.851547035970821</c:v>
                </c:pt>
                <c:pt idx="4">
                  <c:v>-1.7395763225764946</c:v>
                </c:pt>
                <c:pt idx="5">
                  <c:v>-1.6411526287565255</c:v>
                </c:pt>
                <c:pt idx="6">
                  <c:v>-1.8323977500500483</c:v>
                </c:pt>
                <c:pt idx="7">
                  <c:v>-8.4769290555582147E-2</c:v>
                </c:pt>
                <c:pt idx="8">
                  <c:v>1.2785616336903103</c:v>
                </c:pt>
                <c:pt idx="9">
                  <c:v>0.25690097879656837</c:v>
                </c:pt>
              </c:numCache>
            </c:numRef>
          </c:xVal>
          <c:yVal>
            <c:numRef>
              <c:f>vbmax!$B$41:$B$50</c:f>
              <c:numCache>
                <c:formatCode>0.0000</c:formatCode>
                <c:ptCount val="10"/>
                <c:pt idx="0">
                  <c:v>-0.31439024864177778</c:v>
                </c:pt>
                <c:pt idx="1">
                  <c:v>-0.28789534959917323</c:v>
                </c:pt>
                <c:pt idx="2">
                  <c:v>-0.26231004656243273</c:v>
                </c:pt>
                <c:pt idx="3">
                  <c:v>-0.23112722964345189</c:v>
                </c:pt>
                <c:pt idx="4">
                  <c:v>-0.20689465912825283</c:v>
                </c:pt>
                <c:pt idx="5">
                  <c:v>-0.19691242603825745</c:v>
                </c:pt>
                <c:pt idx="6">
                  <c:v>-0.19234112303442777</c:v>
                </c:pt>
                <c:pt idx="7">
                  <c:v>-0.18172916963268038</c:v>
                </c:pt>
                <c:pt idx="8">
                  <c:v>3.5757567666868391E-2</c:v>
                </c:pt>
                <c:pt idx="9">
                  <c:v>0.14971362111947917</c:v>
                </c:pt>
              </c:numCache>
            </c:numRef>
          </c:yVal>
        </c:ser>
        <c:axId val="112855680"/>
        <c:axId val="112861568"/>
      </c:scatterChart>
      <c:valAx>
        <c:axId val="112855680"/>
        <c:scaling>
          <c:orientation val="minMax"/>
        </c:scaling>
        <c:axPos val="b"/>
        <c:numFmt formatCode="0.0000" sourceLinked="1"/>
        <c:tickLblPos val="nextTo"/>
        <c:crossAx val="112861568"/>
        <c:crosses val="autoZero"/>
        <c:crossBetween val="midCat"/>
      </c:valAx>
      <c:valAx>
        <c:axId val="112861568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12855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4.7454849781494425E-2"/>
          <c:y val="2.5636669109112071E-2"/>
          <c:w val="0.21848785030903395"/>
          <c:h val="0.17683822490232029"/>
        </c:manualLayout>
      </c:layout>
    </c:legend>
    <c:plotVisOnly val="1"/>
  </c:chart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</a:t>
            </a:r>
          </a:p>
          <a:p>
            <a:pPr>
              <a:defRPr/>
            </a:pPr>
            <a:r>
              <a:rPr lang="en-US" sz="1400"/>
              <a:t>abrasive blasting </a:t>
            </a:r>
          </a:p>
        </c:rich>
      </c:tx>
      <c:layout>
        <c:manualLayout>
          <c:xMode val="edge"/>
          <c:yMode val="edge"/>
          <c:x val="0.15304663840096988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87305757996131372"/>
          <c:h val="0.701840779685729"/>
        </c:manualLayout>
      </c:layout>
      <c:scatterChart>
        <c:scatterStyle val="lineMarker"/>
        <c:ser>
          <c:idx val="0"/>
          <c:order val="0"/>
          <c:tx>
            <c:v>0429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2719173130653955"/>
                  <c:y val="0.57748634782762653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(vbmax!$G$2:$G$7,vbmax!$G$15:$G$22)</c:f>
              <c:numCache>
                <c:formatCode>0.0000</c:formatCode>
                <c:ptCount val="14"/>
                <c:pt idx="0">
                  <c:v>-1.4247068279188297</c:v>
                </c:pt>
                <c:pt idx="1">
                  <c:v>-1.3897399931253447</c:v>
                </c:pt>
                <c:pt idx="2">
                  <c:v>-1.3689390840946076</c:v>
                </c:pt>
                <c:pt idx="3">
                  <c:v>1.0449179721244817E-2</c:v>
                </c:pt>
                <c:pt idx="4">
                  <c:v>1.0871147843681763</c:v>
                </c:pt>
                <c:pt idx="5">
                  <c:v>1.7006834544928269</c:v>
                </c:pt>
                <c:pt idx="6">
                  <c:v>-0.94584861215060301</c:v>
                </c:pt>
                <c:pt idx="7">
                  <c:v>-0.90108661953575298</c:v>
                </c:pt>
                <c:pt idx="8">
                  <c:v>-0.58319533877956742</c:v>
                </c:pt>
                <c:pt idx="9">
                  <c:v>-0.46086354071949293</c:v>
                </c:pt>
                <c:pt idx="10">
                  <c:v>-0.15053539532394222</c:v>
                </c:pt>
                <c:pt idx="11">
                  <c:v>0.63582704294803394</c:v>
                </c:pt>
                <c:pt idx="12">
                  <c:v>1.5502305951690039</c:v>
                </c:pt>
                <c:pt idx="13">
                  <c:v>5.7937585318769749</c:v>
                </c:pt>
              </c:numCache>
            </c:numRef>
          </c:xVal>
          <c:yVal>
            <c:numRef>
              <c:f>(vbmax!$F$2:$F$7,vbmax!$F$15:$F$22)</c:f>
              <c:numCache>
                <c:formatCode>0.0000</c:formatCode>
                <c:ptCount val="14"/>
                <c:pt idx="0">
                  <c:v>-0.19413699207164656</c:v>
                </c:pt>
                <c:pt idx="1">
                  <c:v>-0.18140264798954966</c:v>
                </c:pt>
                <c:pt idx="2">
                  <c:v>-0.13890818843354133</c:v>
                </c:pt>
                <c:pt idx="3">
                  <c:v>-0.11791751137513984</c:v>
                </c:pt>
                <c:pt idx="4">
                  <c:v>-2.2036763167263711E-2</c:v>
                </c:pt>
                <c:pt idx="5">
                  <c:v>0.20900062232220867</c:v>
                </c:pt>
                <c:pt idx="6">
                  <c:v>-0.27492777577198302</c:v>
                </c:pt>
                <c:pt idx="7">
                  <c:v>-0.2335294960179134</c:v>
                </c:pt>
                <c:pt idx="8">
                  <c:v>-0.22256769799852591</c:v>
                </c:pt>
                <c:pt idx="9">
                  <c:v>-0.22014210864955508</c:v>
                </c:pt>
                <c:pt idx="10">
                  <c:v>-0.20073739385778841</c:v>
                </c:pt>
                <c:pt idx="11">
                  <c:v>-0.15472116515087045</c:v>
                </c:pt>
                <c:pt idx="12">
                  <c:v>8.3530726183997806E-3</c:v>
                </c:pt>
                <c:pt idx="13">
                  <c:v>0.58520020115778204</c:v>
                </c:pt>
              </c:numCache>
            </c:numRef>
          </c:yVal>
        </c:ser>
        <c:axId val="112902912"/>
        <c:axId val="112904448"/>
      </c:scatterChart>
      <c:valAx>
        <c:axId val="112902912"/>
        <c:scaling>
          <c:orientation val="minMax"/>
        </c:scaling>
        <c:axPos val="b"/>
        <c:numFmt formatCode="0.0000" sourceLinked="1"/>
        <c:tickLblPos val="nextTo"/>
        <c:crossAx val="112904448"/>
        <c:crosses val="autoZero"/>
        <c:crossBetween val="midCat"/>
      </c:valAx>
      <c:valAx>
        <c:axId val="112904448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129029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0882788534807837"/>
          <c:y val="3.747098495985806E-2"/>
          <c:w val="0.24495600580944751"/>
          <c:h val="0.21234117245455825"/>
        </c:manualLayout>
      </c:layout>
    </c:legend>
    <c:plotVisOnly val="1"/>
  </c:chart>
  <c:printSettings>
    <c:headerFooter/>
    <c:pageMargins b="0.75000000000000588" l="0.70000000000000062" r="0.70000000000000062" t="0.750000000000005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 VB max &amp; RC</a:t>
            </a:r>
          </a:p>
          <a:p>
            <a:pPr>
              <a:defRPr/>
            </a:pPr>
            <a:r>
              <a:rPr lang="en-US" sz="1400"/>
              <a:t>magneto abrasive machining </a:t>
            </a:r>
          </a:p>
        </c:rich>
      </c:tx>
      <c:layout>
        <c:manualLayout>
          <c:xMode val="edge"/>
          <c:yMode val="edge"/>
          <c:x val="0.15304663840096996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74580747919331358"/>
          <c:h val="0.62294534068075802"/>
        </c:manualLayout>
      </c:layout>
      <c:scatterChart>
        <c:scatterStyle val="lineMarker"/>
        <c:ser>
          <c:idx val="0"/>
          <c:order val="0"/>
          <c:tx>
            <c:v>0532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2729372227975225"/>
                  <c:y val="0.51050940051580218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(vbmax!$G$27:$G$33,vbmax!$G$41:$G$48)</c:f>
              <c:numCache>
                <c:formatCode>0.0000</c:formatCode>
                <c:ptCount val="15"/>
                <c:pt idx="0">
                  <c:v>-0.80809110875840906</c:v>
                </c:pt>
                <c:pt idx="1">
                  <c:v>-1.1485050090689524</c:v>
                </c:pt>
                <c:pt idx="2">
                  <c:v>-0.55479496747105317</c:v>
                </c:pt>
                <c:pt idx="3">
                  <c:v>-0.29976326732010111</c:v>
                </c:pt>
                <c:pt idx="4">
                  <c:v>0.3168594766288898</c:v>
                </c:pt>
                <c:pt idx="5">
                  <c:v>2.5511268972787171</c:v>
                </c:pt>
                <c:pt idx="6">
                  <c:v>7.6037712265537731</c:v>
                </c:pt>
                <c:pt idx="7">
                  <c:v>-0.9595983143209601</c:v>
                </c:pt>
                <c:pt idx="8">
                  <c:v>-0.94882769299042313</c:v>
                </c:pt>
                <c:pt idx="9">
                  <c:v>-1.2480680117089513</c:v>
                </c:pt>
                <c:pt idx="10">
                  <c:v>-0.59968572485967553</c:v>
                </c:pt>
                <c:pt idx="11">
                  <c:v>-0.1771189834334522</c:v>
                </c:pt>
                <c:pt idx="12">
                  <c:v>0.12525722645591286</c:v>
                </c:pt>
                <c:pt idx="13">
                  <c:v>1.1626202285900762</c:v>
                </c:pt>
                <c:pt idx="14">
                  <c:v>3.6918213020393029</c:v>
                </c:pt>
              </c:numCache>
            </c:numRef>
          </c:xVal>
          <c:yVal>
            <c:numRef>
              <c:f>(vbmax!$F$27:$F$33,vbmax!$F$41:$F$48)</c:f>
              <c:numCache>
                <c:formatCode>0.0000</c:formatCode>
                <c:ptCount val="15"/>
                <c:pt idx="0">
                  <c:v>-0.28675252384821581</c:v>
                </c:pt>
                <c:pt idx="1">
                  <c:v>-0.26244998440948875</c:v>
                </c:pt>
                <c:pt idx="2">
                  <c:v>-0.24619387117648228</c:v>
                </c:pt>
                <c:pt idx="3">
                  <c:v>-0.22466676570436608</c:v>
                </c:pt>
                <c:pt idx="4">
                  <c:v>-0.21277204870460525</c:v>
                </c:pt>
                <c:pt idx="5">
                  <c:v>0.20179382319882416</c:v>
                </c:pt>
                <c:pt idx="6">
                  <c:v>0.9770261729146098</c:v>
                </c:pt>
                <c:pt idx="7">
                  <c:v>-0.26419920749768888</c:v>
                </c:pt>
                <c:pt idx="8">
                  <c:v>-0.26305638174673146</c:v>
                </c:pt>
                <c:pt idx="9">
                  <c:v>-0.20493552926946867</c:v>
                </c:pt>
                <c:pt idx="10">
                  <c:v>-0.19045196209917165</c:v>
                </c:pt>
                <c:pt idx="11">
                  <c:v>-0.1684117511878501</c:v>
                </c:pt>
                <c:pt idx="12">
                  <c:v>-0.10903145808708321</c:v>
                </c:pt>
                <c:pt idx="13">
                  <c:v>-0.13247104746896488</c:v>
                </c:pt>
                <c:pt idx="14">
                  <c:v>5.0824209199898815E-2</c:v>
                </c:pt>
              </c:numCache>
            </c:numRef>
          </c:yVal>
        </c:ser>
        <c:axId val="110168704"/>
        <c:axId val="110186880"/>
      </c:scatterChart>
      <c:valAx>
        <c:axId val="110168704"/>
        <c:scaling>
          <c:orientation val="minMax"/>
        </c:scaling>
        <c:axPos val="b"/>
        <c:numFmt formatCode="0.0000" sourceLinked="1"/>
        <c:tickLblPos val="nextTo"/>
        <c:crossAx val="110186880"/>
        <c:crosses val="autoZero"/>
        <c:crossBetween val="midCat"/>
      </c:valAx>
      <c:valAx>
        <c:axId val="110186880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101687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8235972984766483"/>
          <c:y val="4.9305300810604032E-2"/>
          <c:w val="0.22510488918413735"/>
          <c:h val="0.20445162855406093"/>
        </c:manualLayout>
      </c:layout>
    </c:legend>
    <c:plotVisOnly val="1"/>
  </c:chart>
  <c:printSettings>
    <c:headerFooter/>
    <c:pageMargins b="0.75000000000000611" l="0.70000000000000062" r="0.70000000000000062" t="0.750000000000006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</a:t>
            </a:r>
          </a:p>
          <a:p>
            <a:pPr>
              <a:defRPr/>
            </a:pPr>
            <a:r>
              <a:rPr lang="en-US" sz="1400"/>
              <a:t>brushing </a:t>
            </a:r>
          </a:p>
        </c:rich>
      </c:tx>
      <c:layout>
        <c:manualLayout>
          <c:xMode val="edge"/>
          <c:yMode val="edge"/>
          <c:x val="0.15304663840097002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74580747919331392"/>
          <c:h val="0.62294534068075824"/>
        </c:manualLayout>
      </c:layout>
      <c:scatterChart>
        <c:scatterStyle val="lineMarker"/>
        <c:ser>
          <c:idx val="0"/>
          <c:order val="0"/>
          <c:tx>
            <c:v>0575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0863536598868069"/>
                  <c:y val="0.50317802631566688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(vbmax!$L$2:$L$10,vbmax!$L$15:$L$21)</c:f>
              <c:numCache>
                <c:formatCode>0.0000</c:formatCode>
                <c:ptCount val="16"/>
                <c:pt idx="0">
                  <c:v>-0.92601162124871472</c:v>
                </c:pt>
                <c:pt idx="1">
                  <c:v>-0.93886625635714527</c:v>
                </c:pt>
                <c:pt idx="2">
                  <c:v>-0.79038332719445192</c:v>
                </c:pt>
                <c:pt idx="3">
                  <c:v>-0.52062320145871643</c:v>
                </c:pt>
                <c:pt idx="4">
                  <c:v>-0.67574042008256907</c:v>
                </c:pt>
                <c:pt idx="5">
                  <c:v>-0.14168129314497896</c:v>
                </c:pt>
                <c:pt idx="6">
                  <c:v>0.73451856391240611</c:v>
                </c:pt>
                <c:pt idx="7">
                  <c:v>3.0996424483255041</c:v>
                </c:pt>
                <c:pt idx="8">
                  <c:v>8.9254266416288015</c:v>
                </c:pt>
                <c:pt idx="9">
                  <c:v>-0.79530815115360953</c:v>
                </c:pt>
                <c:pt idx="10">
                  <c:v>-0.53689170376927575</c:v>
                </c:pt>
                <c:pt idx="11">
                  <c:v>-0.37381814807474767</c:v>
                </c:pt>
                <c:pt idx="12">
                  <c:v>3.50489735537452E-2</c:v>
                </c:pt>
                <c:pt idx="13">
                  <c:v>0.76485665369497746</c:v>
                </c:pt>
                <c:pt idx="14">
                  <c:v>3.2701543954603296</c:v>
                </c:pt>
                <c:pt idx="15">
                  <c:v>8.893299518360358</c:v>
                </c:pt>
              </c:numCache>
            </c:numRef>
          </c:xVal>
          <c:yVal>
            <c:numRef>
              <c:f>(vbmax!$K$2:$K$10,vbmax!$K$15:$K$21)</c:f>
              <c:numCache>
                <c:formatCode>0.0000</c:formatCode>
                <c:ptCount val="16"/>
                <c:pt idx="0">
                  <c:v>-0.28528317645412771</c:v>
                </c:pt>
                <c:pt idx="1">
                  <c:v>-0.26639156710156636</c:v>
                </c:pt>
                <c:pt idx="2">
                  <c:v>-0.25531315420963224</c:v>
                </c:pt>
                <c:pt idx="3">
                  <c:v>-0.2365848056786363</c:v>
                </c:pt>
                <c:pt idx="4">
                  <c:v>-0.22046863029268579</c:v>
                </c:pt>
                <c:pt idx="5">
                  <c:v>-0.18732668351492077</c:v>
                </c:pt>
                <c:pt idx="6">
                  <c:v>-1.4433473477220526E-2</c:v>
                </c:pt>
                <c:pt idx="7">
                  <c:v>0.16853526154851248</c:v>
                </c:pt>
                <c:pt idx="8">
                  <c:v>0.71324333121403105</c:v>
                </c:pt>
                <c:pt idx="9">
                  <c:v>-0.28493333183648767</c:v>
                </c:pt>
                <c:pt idx="10">
                  <c:v>-0.2563626880625523</c:v>
                </c:pt>
                <c:pt idx="11">
                  <c:v>-0.21032313638112507</c:v>
                </c:pt>
                <c:pt idx="12">
                  <c:v>-0.19007879450702228</c:v>
                </c:pt>
                <c:pt idx="13">
                  <c:v>-0.15917585328215342</c:v>
                </c:pt>
                <c:pt idx="14">
                  <c:v>0.18245907733058547</c:v>
                </c:pt>
                <c:pt idx="15">
                  <c:v>1.4060289660393175</c:v>
                </c:pt>
              </c:numCache>
            </c:numRef>
          </c:yVal>
        </c:ser>
        <c:axId val="110228224"/>
        <c:axId val="110229760"/>
      </c:scatterChart>
      <c:valAx>
        <c:axId val="110228224"/>
        <c:scaling>
          <c:orientation val="minMax"/>
        </c:scaling>
        <c:axPos val="b"/>
        <c:numFmt formatCode="0.0000" sourceLinked="1"/>
        <c:tickLblPos val="nextTo"/>
        <c:crossAx val="110229760"/>
        <c:crosses val="autoZero"/>
        <c:crossBetween val="midCat"/>
      </c:valAx>
      <c:valAx>
        <c:axId val="110229760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102282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5845567691135383"/>
          <c:y val="4.9305300810604032E-2"/>
          <c:w val="0.21848785030903395"/>
          <c:h val="0.17683822490232029"/>
        </c:manualLayout>
      </c:layout>
    </c:legend>
    <c:plotVisOnly val="1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</a:t>
            </a:r>
          </a:p>
          <a:p>
            <a:pPr>
              <a:defRPr/>
            </a:pPr>
            <a:r>
              <a:rPr lang="en-US" sz="1400"/>
              <a:t>laser machining </a:t>
            </a:r>
          </a:p>
        </c:rich>
      </c:tx>
      <c:layout>
        <c:manualLayout>
          <c:xMode val="edge"/>
          <c:yMode val="edge"/>
          <c:x val="0.15304663840097013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74580747919331414"/>
          <c:h val="0.62294534068075846"/>
        </c:manualLayout>
      </c:layout>
      <c:scatterChart>
        <c:scatterStyle val="lineMarker"/>
        <c:ser>
          <c:idx val="0"/>
          <c:order val="0"/>
          <c:tx>
            <c:v>0639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1533420605302749"/>
                  <c:y val="0.55285947821538517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(vbmax!$L$27:$L$31,vbmax!$L$41:$L$45)</c:f>
              <c:numCache>
                <c:formatCode>0.000</c:formatCode>
                <c:ptCount val="10"/>
                <c:pt idx="0">
                  <c:v>-1.6562407838533804</c:v>
                </c:pt>
                <c:pt idx="1">
                  <c:v>-1.2868367478006419</c:v>
                </c:pt>
                <c:pt idx="2">
                  <c:v>-0.49724872450398283</c:v>
                </c:pt>
                <c:pt idx="3">
                  <c:v>0.37590056640310565</c:v>
                </c:pt>
                <c:pt idx="4">
                  <c:v>1.1493972097230305</c:v>
                </c:pt>
                <c:pt idx="5" formatCode="0.0000">
                  <c:v>-0.68151448750369614</c:v>
                </c:pt>
                <c:pt idx="6" formatCode="0.0000">
                  <c:v>-0.69388681323239954</c:v>
                </c:pt>
                <c:pt idx="7" formatCode="0.0000">
                  <c:v>0.30898579884631444</c:v>
                </c:pt>
                <c:pt idx="8" formatCode="0.0000">
                  <c:v>0.86349619903107178</c:v>
                </c:pt>
                <c:pt idx="9" formatCode="0.0000">
                  <c:v>8.9903240447908779</c:v>
                </c:pt>
              </c:numCache>
            </c:numRef>
          </c:xVal>
          <c:yVal>
            <c:numRef>
              <c:f>(vbmax!$K$27:$K$31,vbmax!$K$41:$K$45)</c:f>
              <c:numCache>
                <c:formatCode>0.0000</c:formatCode>
                <c:ptCount val="10"/>
                <c:pt idx="0">
                  <c:v>-0.23247996216499328</c:v>
                </c:pt>
                <c:pt idx="1">
                  <c:v>-0.18963565799134494</c:v>
                </c:pt>
                <c:pt idx="2">
                  <c:v>-0.16757212410551406</c:v>
                </c:pt>
                <c:pt idx="3">
                  <c:v>-0.1284128499043406</c:v>
                </c:pt>
                <c:pt idx="4">
                  <c:v>-8.3749353718964067E-2</c:v>
                </c:pt>
                <c:pt idx="5">
                  <c:v>-0.25445020415278685</c:v>
                </c:pt>
                <c:pt idx="6">
                  <c:v>-0.20353615079890858</c:v>
                </c:pt>
                <c:pt idx="7">
                  <c:v>-0.19325071904029184</c:v>
                </c:pt>
                <c:pt idx="8">
                  <c:v>-0.18060966685623228</c:v>
                </c:pt>
                <c:pt idx="9">
                  <c:v>0.91298128491197583</c:v>
                </c:pt>
              </c:numCache>
            </c:numRef>
          </c:yVal>
        </c:ser>
        <c:axId val="114137728"/>
        <c:axId val="114139520"/>
      </c:scatterChart>
      <c:valAx>
        <c:axId val="114137728"/>
        <c:scaling>
          <c:orientation val="minMax"/>
        </c:scaling>
        <c:axPos val="b"/>
        <c:numFmt formatCode="0.000" sourceLinked="1"/>
        <c:tickLblPos val="nextTo"/>
        <c:crossAx val="114139520"/>
        <c:crosses val="autoZero"/>
        <c:crossBetween val="midCat"/>
      </c:valAx>
      <c:valAx>
        <c:axId val="1141395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141377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507271578645722"/>
          <c:y val="7.6918704462344653E-2"/>
          <c:w val="0.22510488918413735"/>
          <c:h val="0.17289345295207165"/>
        </c:manualLayout>
      </c:layout>
    </c:legend>
    <c:plotVisOnly val="1"/>
  </c:chart>
  <c:printSettings>
    <c:headerFooter/>
    <c:pageMargins b="0.75000000000000655" l="0.70000000000000062" r="0.70000000000000062" t="0.750000000000006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sz="1400"/>
              <a:t>Relation betweenVB max &amp; RC</a:t>
            </a:r>
          </a:p>
          <a:p>
            <a:pPr>
              <a:defRPr/>
            </a:pPr>
            <a:r>
              <a:rPr lang="en-US" sz="1400"/>
              <a:t>honing </a:t>
            </a:r>
          </a:p>
        </c:rich>
      </c:tx>
      <c:layout>
        <c:manualLayout>
          <c:xMode val="edge"/>
          <c:yMode val="edge"/>
          <c:x val="0.15304663840097024"/>
          <c:y val="0.81679298737579864"/>
        </c:manualLayout>
      </c:layout>
    </c:title>
    <c:plotArea>
      <c:layout>
        <c:manualLayout>
          <c:layoutTarget val="inner"/>
          <c:xMode val="edge"/>
          <c:yMode val="edge"/>
          <c:x val="7.7810989583994072E-2"/>
          <c:y val="4.2800989589220031E-2"/>
          <c:w val="0.74580747919331436"/>
          <c:h val="0.6229453406807588"/>
        </c:manualLayout>
      </c:layout>
      <c:scatterChart>
        <c:scatterStyle val="lineMarker"/>
        <c:ser>
          <c:idx val="0"/>
          <c:order val="0"/>
          <c:tx>
            <c:v>0699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8.5573943455579213E-2"/>
                  <c:y val="0.41985077579997337"/>
                </c:manualLayout>
              </c:layout>
              <c:numFmt formatCode="General" sourceLinked="0"/>
              <c:spPr>
                <a:solidFill>
                  <a:schemeClr val="accent5">
                    <a:lumMod val="40000"/>
                    <a:lumOff val="60000"/>
                  </a:schemeClr>
                </a:solidFill>
              </c:spPr>
            </c:trendlineLbl>
          </c:trendline>
          <c:xVal>
            <c:numRef>
              <c:f>(vbmax!$P$2:$P$9,vbmax!$P$15:$P$23)</c:f>
              <c:numCache>
                <c:formatCode>0.0000</c:formatCode>
                <c:ptCount val="17"/>
                <c:pt idx="0">
                  <c:v>-1.3837346670859187</c:v>
                </c:pt>
                <c:pt idx="1">
                  <c:v>-1.3535807325578728</c:v>
                </c:pt>
                <c:pt idx="2">
                  <c:v>-1.1568460923846664</c:v>
                </c:pt>
                <c:pt idx="3">
                  <c:v>-0.90109726239255328</c:v>
                </c:pt>
                <c:pt idx="4">
                  <c:v>-0.42498051788935004</c:v>
                </c:pt>
                <c:pt idx="5">
                  <c:v>0.87789666271693234</c:v>
                </c:pt>
                <c:pt idx="6">
                  <c:v>1.6737844066410217</c:v>
                </c:pt>
                <c:pt idx="7">
                  <c:v>5.0354589492092785</c:v>
                </c:pt>
                <c:pt idx="8">
                  <c:v>-1.2508566544023336</c:v>
                </c:pt>
                <c:pt idx="9">
                  <c:v>-1.2447473261436577</c:v>
                </c:pt>
                <c:pt idx="10">
                  <c:v>-1.1594488402067227</c:v>
                </c:pt>
                <c:pt idx="11">
                  <c:v>-0.91265593042742643</c:v>
                </c:pt>
                <c:pt idx="12">
                  <c:v>-0.90734097213679954</c:v>
                </c:pt>
                <c:pt idx="13">
                  <c:v>0.25647815453241501</c:v>
                </c:pt>
                <c:pt idx="14">
                  <c:v>1.4597200495611133</c:v>
                </c:pt>
                <c:pt idx="15">
                  <c:v>3.1369876885025016</c:v>
                </c:pt>
                <c:pt idx="16">
                  <c:v>4.5836752576420139</c:v>
                </c:pt>
              </c:numCache>
            </c:numRef>
          </c:xVal>
          <c:yVal>
            <c:numRef>
              <c:f>(vbmax!$O$2:$O$9,vbmax!$O$15:$O$23)</c:f>
              <c:numCache>
                <c:formatCode>0.0000</c:formatCode>
                <c:ptCount val="17"/>
                <c:pt idx="0">
                  <c:v>-0.29916034628718202</c:v>
                </c:pt>
                <c:pt idx="1">
                  <c:v>-0.28663590897566915</c:v>
                </c:pt>
                <c:pt idx="2">
                  <c:v>-0.25785535843114976</c:v>
                </c:pt>
                <c:pt idx="3">
                  <c:v>-0.24346508315889007</c:v>
                </c:pt>
                <c:pt idx="4">
                  <c:v>-0.21881269910252302</c:v>
                </c:pt>
                <c:pt idx="5">
                  <c:v>-0.14254657245699759</c:v>
                </c:pt>
                <c:pt idx="6">
                  <c:v>-0.11742772891044383</c:v>
                </c:pt>
                <c:pt idx="7">
                  <c:v>0.35740470912510724</c:v>
                </c:pt>
                <c:pt idx="8">
                  <c:v>-0.30380161821453971</c:v>
                </c:pt>
                <c:pt idx="9">
                  <c:v>-0.28539979132667437</c:v>
                </c:pt>
                <c:pt idx="10">
                  <c:v>-0.24843287672937842</c:v>
                </c:pt>
                <c:pt idx="11">
                  <c:v>-0.22352393995340866</c:v>
                </c:pt>
                <c:pt idx="12">
                  <c:v>-0.21685356924373886</c:v>
                </c:pt>
                <c:pt idx="13">
                  <c:v>-0.1959561840833747</c:v>
                </c:pt>
                <c:pt idx="14">
                  <c:v>-0.15376492319598772</c:v>
                </c:pt>
                <c:pt idx="15">
                  <c:v>-8.4449042954244144E-2</c:v>
                </c:pt>
                <c:pt idx="16">
                  <c:v>0.13907834474322242</c:v>
                </c:pt>
              </c:numCache>
            </c:numRef>
          </c:yVal>
        </c:ser>
        <c:axId val="114160384"/>
        <c:axId val="114161920"/>
      </c:scatterChart>
      <c:valAx>
        <c:axId val="114160384"/>
        <c:scaling>
          <c:orientation val="minMax"/>
        </c:scaling>
        <c:axPos val="b"/>
        <c:numFmt formatCode="0.0000" sourceLinked="1"/>
        <c:tickLblPos val="nextTo"/>
        <c:crossAx val="114161920"/>
        <c:crosses val="autoZero"/>
        <c:crossBetween val="midCat"/>
      </c:valAx>
      <c:valAx>
        <c:axId val="1141619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00" sourceLinked="1"/>
        <c:tickLblPos val="nextTo"/>
        <c:crossAx val="114160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989023270354233"/>
          <c:y val="6.1139616661350017E-2"/>
          <c:w val="0.22510488918413735"/>
          <c:h val="0.21628594440480692"/>
        </c:manualLayout>
      </c:layout>
    </c:legend>
    <c:plotVisOnly val="1"/>
  </c:chart>
  <c:printSettings>
    <c:headerFooter/>
    <c:pageMargins b="0.75000000000000677" l="0.70000000000000062" r="0.70000000000000062" t="0.7500000000000067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Correlation between RC et VBmax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correlation entre CP et VB</c:v>
          </c:tx>
          <c:dLbls>
            <c:showVal val="1"/>
          </c:dLbls>
          <c:cat>
            <c:strRef>
              <c:f>vbmax!$Q$58:$Q$71</c:f>
              <c:strCache>
                <c:ptCount val="14"/>
                <c:pt idx="0">
                  <c:v>0025E2</c:v>
                </c:pt>
                <c:pt idx="1">
                  <c:v>0025E4</c:v>
                </c:pt>
                <c:pt idx="2">
                  <c:v>0244E1</c:v>
                </c:pt>
                <c:pt idx="3">
                  <c:v>0374E3</c:v>
                </c:pt>
                <c:pt idx="4">
                  <c:v>0429E2</c:v>
                </c:pt>
                <c:pt idx="5">
                  <c:v>0429E4</c:v>
                </c:pt>
                <c:pt idx="6">
                  <c:v>0532E1</c:v>
                </c:pt>
                <c:pt idx="7">
                  <c:v>0532E4</c:v>
                </c:pt>
                <c:pt idx="8">
                  <c:v>0575E2</c:v>
                </c:pt>
                <c:pt idx="9">
                  <c:v>0575E4</c:v>
                </c:pt>
                <c:pt idx="10">
                  <c:v>0639E1</c:v>
                </c:pt>
                <c:pt idx="11">
                  <c:v>0639E4</c:v>
                </c:pt>
                <c:pt idx="12">
                  <c:v>0699E1</c:v>
                </c:pt>
                <c:pt idx="13">
                  <c:v>0699E3</c:v>
                </c:pt>
              </c:strCache>
            </c:strRef>
          </c:cat>
          <c:val>
            <c:numRef>
              <c:f>(vbmax!$D$12,vbmax!$D$24,vbmax!$D$38,vbmax!$D$51,vbmax!$H$10,vbmax!$H$24,vbmax!$H$35,vbmax!$H$50,vbmax!$M$11,vbmax!$M$23,vbmax!$M$33,vbmax!$M$47,vbmax!$Q$11,vbmax!$Q$25)</c:f>
              <c:numCache>
                <c:formatCode>0.00</c:formatCode>
                <c:ptCount val="14"/>
                <c:pt idx="0">
                  <c:v>96.821505587752483</c:v>
                </c:pt>
                <c:pt idx="1">
                  <c:v>97.863009481633057</c:v>
                </c:pt>
                <c:pt idx="2">
                  <c:v>97.940787956971505</c:v>
                </c:pt>
                <c:pt idx="3">
                  <c:v>86.625272926159568</c:v>
                </c:pt>
                <c:pt idx="4">
                  <c:v>90.148687744995357</c:v>
                </c:pt>
                <c:pt idx="5">
                  <c:v>99.263030301528232</c:v>
                </c:pt>
                <c:pt idx="6">
                  <c:v>99.434451844348914</c:v>
                </c:pt>
                <c:pt idx="7">
                  <c:v>93.96776592218707</c:v>
                </c:pt>
                <c:pt idx="8">
                  <c:v>99.521493093610175</c:v>
                </c:pt>
                <c:pt idx="9">
                  <c:v>98.803020512504119</c:v>
                </c:pt>
                <c:pt idx="10">
                  <c:v>98.640217174158664</c:v>
                </c:pt>
                <c:pt idx="11">
                  <c:v>99.204416421907609</c:v>
                </c:pt>
                <c:pt idx="12">
                  <c:v>97.339731908885028</c:v>
                </c:pt>
                <c:pt idx="13">
                  <c:v>94.738401041222033</c:v>
                </c:pt>
              </c:numCache>
            </c:numRef>
          </c:val>
        </c:ser>
        <c:axId val="114333568"/>
        <c:axId val="114335104"/>
      </c:barChart>
      <c:catAx>
        <c:axId val="114333568"/>
        <c:scaling>
          <c:orientation val="minMax"/>
        </c:scaling>
        <c:axPos val="b"/>
        <c:tickLblPos val="nextTo"/>
        <c:crossAx val="114335104"/>
        <c:crosses val="autoZero"/>
        <c:auto val="1"/>
        <c:lblAlgn val="ctr"/>
        <c:lblOffset val="100"/>
      </c:catAx>
      <c:valAx>
        <c:axId val="114335104"/>
        <c:scaling>
          <c:orientation val="minMax"/>
          <c:max val="100"/>
          <c:min val="0"/>
        </c:scaling>
        <c:axPos val="l"/>
        <c:majorGridlines/>
        <c:numFmt formatCode="0.00" sourceLinked="1"/>
        <c:tickLblPos val="nextTo"/>
        <c:crossAx val="114333568"/>
        <c:crosses val="autoZero"/>
        <c:crossBetween val="between"/>
      </c:valAx>
    </c:plotArea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Correlation % av</a:t>
            </a:r>
            <a:r>
              <a:rPr lang="en-US" sz="1200" baseline="0"/>
              <a:t> </a:t>
            </a:r>
            <a:r>
              <a:rPr lang="en-US" sz="1200"/>
              <a:t>between RC</a:t>
            </a:r>
            <a:r>
              <a:rPr lang="en-US" sz="1200" baseline="0"/>
              <a:t> </a:t>
            </a:r>
            <a:r>
              <a:rPr lang="en-US" sz="1200"/>
              <a:t>&amp; VBmax</a:t>
            </a:r>
          </a:p>
        </c:rich>
      </c:tx>
      <c:layout>
        <c:manualLayout>
          <c:xMode val="edge"/>
          <c:yMode val="edge"/>
          <c:x val="0.24022736923966376"/>
          <c:y val="4.0606321839080459E-2"/>
        </c:manualLayout>
      </c:layout>
    </c:title>
    <c:plotArea>
      <c:layout>
        <c:manualLayout>
          <c:layoutTarget val="inner"/>
          <c:xMode val="edge"/>
          <c:yMode val="edge"/>
          <c:x val="7.9235434529136575E-2"/>
          <c:y val="0.27127011494252873"/>
          <c:w val="0.84633946997693466"/>
          <c:h val="0.25276149425287359"/>
        </c:manualLayout>
      </c:layout>
      <c:barChart>
        <c:barDir val="col"/>
        <c:grouping val="clustered"/>
        <c:ser>
          <c:idx val="0"/>
          <c:order val="0"/>
          <c:tx>
            <c:v>correlation entre CP et VB</c:v>
          </c:tx>
          <c:dLbls>
            <c:showVal val="1"/>
          </c:dLbls>
          <c:cat>
            <c:strRef>
              <c:f>(vbmax!$T$66,vbmax!$T$68,vbmax!$T$58,vbmax!$T$60,vbmax!$T$64,vbmax!$T$70,vbmax!$T$62,vbmax!$T$61)</c:f>
              <c:strCache>
                <c:ptCount val="8"/>
                <c:pt idx="0">
                  <c:v>brushing</c:v>
                </c:pt>
                <c:pt idx="1">
                  <c:v>laser machining</c:v>
                </c:pt>
                <c:pt idx="2">
                  <c:v>abrasive flow machining</c:v>
                </c:pt>
                <c:pt idx="3">
                  <c:v>dragging</c:v>
                </c:pt>
                <c:pt idx="4">
                  <c:v>magneto-abrasive machining</c:v>
                </c:pt>
                <c:pt idx="5">
                  <c:v>honing</c:v>
                </c:pt>
                <c:pt idx="6">
                  <c:v>abrasive blasting</c:v>
                </c:pt>
                <c:pt idx="7">
                  <c:v>reference</c:v>
                </c:pt>
              </c:strCache>
            </c:strRef>
          </c:cat>
          <c:val>
            <c:numRef>
              <c:f>(vbmax!$S$66,vbmax!$S$68,vbmax!$S$58,vbmax!$S$60,vbmax!$S$64,vbmax!$S$70,vbmax!$S$62,vbmax!$S$61)</c:f>
              <c:numCache>
                <c:formatCode>0.00</c:formatCode>
                <c:ptCount val="8"/>
                <c:pt idx="0">
                  <c:v>99.16</c:v>
                </c:pt>
                <c:pt idx="1">
                  <c:v>98.92</c:v>
                </c:pt>
                <c:pt idx="2">
                  <c:v>97.34</c:v>
                </c:pt>
                <c:pt idx="3">
                  <c:v>97.94</c:v>
                </c:pt>
                <c:pt idx="4">
                  <c:v>96.7</c:v>
                </c:pt>
                <c:pt idx="5">
                  <c:v>96.039999999999992</c:v>
                </c:pt>
                <c:pt idx="6">
                  <c:v>94.705000000000013</c:v>
                </c:pt>
                <c:pt idx="7">
                  <c:v>86.63</c:v>
                </c:pt>
              </c:numCache>
            </c:numRef>
          </c:val>
        </c:ser>
        <c:axId val="114447488"/>
        <c:axId val="114449024"/>
      </c:barChart>
      <c:catAx>
        <c:axId val="114447488"/>
        <c:scaling>
          <c:orientation val="minMax"/>
        </c:scaling>
        <c:axPos val="b"/>
        <c:tickLblPos val="nextTo"/>
        <c:crossAx val="114449024"/>
        <c:crossesAt val="0"/>
        <c:auto val="1"/>
        <c:lblAlgn val="ctr"/>
        <c:lblOffset val="100"/>
      </c:catAx>
      <c:valAx>
        <c:axId val="114449024"/>
        <c:scaling>
          <c:orientation val="minMax"/>
          <c:max val="100"/>
          <c:min val="0"/>
        </c:scaling>
        <c:axPos val="l"/>
        <c:majorGridlines/>
        <c:numFmt formatCode="0" sourceLinked="0"/>
        <c:tickLblPos val="nextTo"/>
        <c:crossAx val="114447488"/>
        <c:crosses val="autoZero"/>
        <c:crossBetween val="between"/>
        <c:majorUnit val="50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>
        <c:manualLayout>
          <c:xMode val="edge"/>
          <c:yMode val="edge"/>
          <c:x val="0.38517748917748917"/>
          <c:y val="0.10859728506787331"/>
        </c:manualLayout>
      </c:layout>
      <c:txPr>
        <a:bodyPr/>
        <a:lstStyle/>
        <a:p>
          <a:pPr>
            <a:defRPr sz="1200"/>
          </a:pPr>
          <a:endParaRPr lang="fr-FR"/>
        </a:p>
      </c:txPr>
    </c:title>
    <c:plotArea>
      <c:layout>
        <c:manualLayout>
          <c:layoutTarget val="inner"/>
          <c:xMode val="edge"/>
          <c:yMode val="edge"/>
          <c:x val="0.13366885389326333"/>
          <c:y val="0.34295166229221352"/>
          <c:w val="0.5933602362204724"/>
          <c:h val="0.50667395742198884"/>
        </c:manualLayout>
      </c:layout>
      <c:barChart>
        <c:barDir val="col"/>
        <c:grouping val="clustered"/>
        <c:ser>
          <c:idx val="0"/>
          <c:order val="0"/>
          <c:tx>
            <c:v>eigenvalues %</c:v>
          </c:tx>
          <c:dLbls>
            <c:showVal val="1"/>
          </c:dLbls>
          <c:cat>
            <c:strRef>
              <c:f>(vbmax!$B$56,vbmax!$C$56,vbmax!$D$56)</c:f>
              <c:strCache>
                <c:ptCount val="3"/>
                <c:pt idx="0">
                  <c:v>Fact1</c:v>
                </c:pt>
                <c:pt idx="1">
                  <c:v>Fact2</c:v>
                </c:pt>
                <c:pt idx="2">
                  <c:v>Fact3</c:v>
                </c:pt>
              </c:strCache>
            </c:strRef>
          </c:cat>
          <c:val>
            <c:numRef>
              <c:f>vbmax!$B$65:$D$65</c:f>
              <c:numCache>
                <c:formatCode>0.00</c:formatCode>
                <c:ptCount val="3"/>
                <c:pt idx="0">
                  <c:v>0.7533333333333333</c:v>
                </c:pt>
                <c:pt idx="1">
                  <c:v>10.243333333333334</c:v>
                </c:pt>
                <c:pt idx="2">
                  <c:v>89.00333333333333</c:v>
                </c:pt>
              </c:numCache>
            </c:numRef>
          </c:val>
        </c:ser>
        <c:axId val="109913216"/>
        <c:axId val="109915520"/>
      </c:barChart>
      <c:catAx>
        <c:axId val="109913216"/>
        <c:scaling>
          <c:orientation val="minMax"/>
        </c:scaling>
        <c:axPos val="b"/>
        <c:tickLblPos val="nextTo"/>
        <c:crossAx val="109915520"/>
        <c:crosses val="autoZero"/>
        <c:auto val="1"/>
        <c:lblAlgn val="ctr"/>
        <c:lblOffset val="100"/>
      </c:catAx>
      <c:valAx>
        <c:axId val="109915520"/>
        <c:scaling>
          <c:orientation val="minMax"/>
        </c:scaling>
        <c:axPos val="l"/>
        <c:majorGridlines/>
        <c:numFmt formatCode="0.00" sourceLinked="1"/>
        <c:tickLblPos val="nextTo"/>
        <c:crossAx val="109913216"/>
        <c:crosses val="autoZero"/>
        <c:crossBetween val="between"/>
        <c:majorUnit val="20"/>
      </c:valAx>
    </c:plotArea>
    <c:legend>
      <c:legendPos val="r"/>
      <c:layout>
        <c:manualLayout>
          <c:xMode val="edge"/>
          <c:yMode val="edge"/>
          <c:x val="0.73561864399977528"/>
          <c:y val="0.51974117369809225"/>
          <c:w val="0.26438135600022472"/>
          <c:h val="0.12824768428418176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(résultats!$D$21,résultats!$D$35,résultats!$D$49,résultats!$D$63,résultats!$D$77,résultats!$D$91,résultats!$D$105,résultats!$D$119,résultats!$D$133)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vbmax!$B$2:$B$9</c:f>
              <c:numCache>
                <c:formatCode>0.0000</c:formatCode>
                <c:ptCount val="8"/>
                <c:pt idx="0">
                  <c:v>-0.30249553164201692</c:v>
                </c:pt>
                <c:pt idx="1">
                  <c:v>-0.29325963373632025</c:v>
                </c:pt>
                <c:pt idx="2">
                  <c:v>-0.28367389121298364</c:v>
                </c:pt>
                <c:pt idx="3">
                  <c:v>-0.25850840171741113</c:v>
                </c:pt>
                <c:pt idx="4">
                  <c:v>-0.23798418414919636</c:v>
                </c:pt>
                <c:pt idx="5">
                  <c:v>-0.23394930955908141</c:v>
                </c:pt>
                <c:pt idx="6">
                  <c:v>-0.21272540275558655</c:v>
                </c:pt>
                <c:pt idx="7">
                  <c:v>7.7389077166031328E-2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(résultats!$D$21,résultats!$D$35,résultats!$D$49,résultats!$D$63,résultats!$D$77,résultats!$D$91,résultats!$D$105,résultats!$D$119,résultats!$D$133)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vbmax!$D$2:$D$10</c:f>
              <c:numCache>
                <c:formatCode>0.0000</c:formatCode>
                <c:ptCount val="9"/>
                <c:pt idx="0">
                  <c:v>-0.29857176462493407</c:v>
                </c:pt>
                <c:pt idx="1">
                  <c:v>-0.35201592636137274</c:v>
                </c:pt>
                <c:pt idx="2">
                  <c:v>-0.27794948587629414</c:v>
                </c:pt>
                <c:pt idx="3">
                  <c:v>-0.25276526581353709</c:v>
                </c:pt>
                <c:pt idx="4">
                  <c:v>-0.2257785922567897</c:v>
                </c:pt>
                <c:pt idx="5">
                  <c:v>-0.19993138402223076</c:v>
                </c:pt>
                <c:pt idx="6">
                  <c:v>-0.17177648707063442</c:v>
                </c:pt>
                <c:pt idx="7">
                  <c:v>5.791137923053824E-2</c:v>
                </c:pt>
                <c:pt idx="8">
                  <c:v>0.25935214564857445</c:v>
                </c:pt>
              </c:numCache>
            </c:numRef>
          </c:yVal>
        </c:ser>
        <c:axId val="114834432"/>
        <c:axId val="114856704"/>
      </c:scatterChart>
      <c:valAx>
        <c:axId val="114834432"/>
        <c:scaling>
          <c:orientation val="minMax"/>
        </c:scaling>
        <c:axPos val="b"/>
        <c:numFmt formatCode="General" sourceLinked="1"/>
        <c:tickLblPos val="nextTo"/>
        <c:crossAx val="114856704"/>
        <c:crosses val="autoZero"/>
        <c:crossBetween val="midCat"/>
      </c:valAx>
      <c:valAx>
        <c:axId val="114856704"/>
        <c:scaling>
          <c:orientation val="minMax"/>
        </c:scaling>
        <c:axPos val="l"/>
        <c:majorGridlines/>
        <c:numFmt formatCode="0.0000" sourceLinked="1"/>
        <c:tickLblPos val="nextTo"/>
        <c:crossAx val="1148344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389" l="0.70000000000000062" r="0.70000000000000062" t="0.75000000000000389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(résultats!$D$22,résultats!$D$36,résultats!$D$50,résultats!$D$64,résultats!$D$78,résultats!$D$92,résultats!$D$106,résultats!$D$134)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101389</c:v>
                </c:pt>
              </c:numCache>
            </c:numRef>
          </c:xVal>
          <c:yVal>
            <c:numRef>
              <c:f>vbmax!$B$15:$B$23</c:f>
              <c:numCache>
                <c:formatCode>0.0000</c:formatCode>
                <c:ptCount val="9"/>
                <c:pt idx="0">
                  <c:v>-0.27651373803861778</c:v>
                </c:pt>
                <c:pt idx="1">
                  <c:v>-0.25410035953514681</c:v>
                </c:pt>
                <c:pt idx="2">
                  <c:v>-0.23035757148464381</c:v>
                </c:pt>
                <c:pt idx="3">
                  <c:v>-0.20316298320675921</c:v>
                </c:pt>
                <c:pt idx="4">
                  <c:v>-0.19847506533038289</c:v>
                </c:pt>
                <c:pt idx="5">
                  <c:v>-0.18018985331506426</c:v>
                </c:pt>
                <c:pt idx="6">
                  <c:v>-0.15350837047638505</c:v>
                </c:pt>
                <c:pt idx="7">
                  <c:v>-2.6118283706397332E-2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(résultats!$D$22,résultats!$D$36,résultats!$D$50,résultats!$D$64,résultats!$D$78,résultats!$D$92,résultats!$D$106,résultats!$D$134)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101389</c:v>
                </c:pt>
              </c:numCache>
            </c:numRef>
          </c:xVal>
          <c:yVal>
            <c:numRef>
              <c:f>vbmax!$D$15:$D$23</c:f>
              <c:numCache>
                <c:formatCode>0.0000</c:formatCode>
                <c:ptCount val="9"/>
                <c:pt idx="0">
                  <c:v>-0.34079293373789132</c:v>
                </c:pt>
                <c:pt idx="1">
                  <c:v>-0.24544970119025208</c:v>
                </c:pt>
                <c:pt idx="2">
                  <c:v>-0.23991899919582479</c:v>
                </c:pt>
                <c:pt idx="3">
                  <c:v>-0.20550672180596882</c:v>
                </c:pt>
                <c:pt idx="4">
                  <c:v>-0.20419731953306341</c:v>
                </c:pt>
                <c:pt idx="5">
                  <c:v>-0.16383691509164844</c:v>
                </c:pt>
                <c:pt idx="6">
                  <c:v>-0.10658843310007542</c:v>
                </c:pt>
                <c:pt idx="7">
                  <c:v>2.0870907206629236E-2</c:v>
                </c:pt>
              </c:numCache>
            </c:numRef>
          </c:yVal>
        </c:ser>
        <c:axId val="114762880"/>
        <c:axId val="114764416"/>
      </c:scatterChart>
      <c:valAx>
        <c:axId val="114762880"/>
        <c:scaling>
          <c:orientation val="minMax"/>
        </c:scaling>
        <c:axPos val="b"/>
        <c:numFmt formatCode="General" sourceLinked="1"/>
        <c:tickLblPos val="nextTo"/>
        <c:crossAx val="114764416"/>
        <c:crosses val="autoZero"/>
        <c:crossBetween val="midCat"/>
      </c:valAx>
      <c:valAx>
        <c:axId val="114764416"/>
        <c:scaling>
          <c:orientation val="minMax"/>
        </c:scaling>
        <c:axPos val="l"/>
        <c:majorGridlines/>
        <c:numFmt formatCode="0.0000" sourceLinked="1"/>
        <c:tickLblPos val="nextTo"/>
        <c:crossAx val="11476288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11" l="0.70000000000000062" r="0.70000000000000062" t="0.75000000000000411" header="0.30000000000000032" footer="0.3000000000000003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vbmax!$B$27:$B$36</c:f>
              <c:numCache>
                <c:formatCode>0.0000</c:formatCode>
                <c:ptCount val="10"/>
                <c:pt idx="0">
                  <c:v>-0.29923031521071003</c:v>
                </c:pt>
                <c:pt idx="1">
                  <c:v>-0.27679361373272976</c:v>
                </c:pt>
                <c:pt idx="2">
                  <c:v>-0.27163923636616671</c:v>
                </c:pt>
                <c:pt idx="3">
                  <c:v>-0.26114389783696601</c:v>
                </c:pt>
                <c:pt idx="4">
                  <c:v>-0.25225784454890937</c:v>
                </c:pt>
                <c:pt idx="5">
                  <c:v>-0.22774539833959828</c:v>
                </c:pt>
                <c:pt idx="6">
                  <c:v>-0.21634046380453351</c:v>
                </c:pt>
                <c:pt idx="7">
                  <c:v>-0.17734445042492539</c:v>
                </c:pt>
                <c:pt idx="8">
                  <c:v>-0.13547971118066909</c:v>
                </c:pt>
                <c:pt idx="9">
                  <c:v>0.31542335500830426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vbmax!$D$27:$D$36</c:f>
              <c:numCache>
                <c:formatCode>0.0000</c:formatCode>
                <c:ptCount val="10"/>
                <c:pt idx="0">
                  <c:v>-0.30317935457718542</c:v>
                </c:pt>
                <c:pt idx="1">
                  <c:v>-0.32416756603841207</c:v>
                </c:pt>
                <c:pt idx="2">
                  <c:v>-0.29717499146613341</c:v>
                </c:pt>
                <c:pt idx="3">
                  <c:v>-0.27020571047980663</c:v>
                </c:pt>
                <c:pt idx="4">
                  <c:v>-0.25941413877908903</c:v>
                </c:pt>
                <c:pt idx="5">
                  <c:v>-0.22608349906850506</c:v>
                </c:pt>
                <c:pt idx="6">
                  <c:v>-0.18256892480241635</c:v>
                </c:pt>
                <c:pt idx="7">
                  <c:v>-0.14243150736128218</c:v>
                </c:pt>
                <c:pt idx="8">
                  <c:v>-6.7860646450473669E-2</c:v>
                </c:pt>
                <c:pt idx="9">
                  <c:v>0.27028808052687697</c:v>
                </c:pt>
              </c:numCache>
            </c:numRef>
          </c:yVal>
        </c:ser>
        <c:axId val="114789760"/>
        <c:axId val="114807936"/>
      </c:scatterChart>
      <c:valAx>
        <c:axId val="114789760"/>
        <c:scaling>
          <c:orientation val="minMax"/>
        </c:scaling>
        <c:axPos val="b"/>
        <c:numFmt formatCode="General" sourceLinked="1"/>
        <c:tickLblPos val="nextTo"/>
        <c:crossAx val="114807936"/>
        <c:crosses val="autoZero"/>
        <c:crossBetween val="midCat"/>
      </c:valAx>
      <c:valAx>
        <c:axId val="114807936"/>
        <c:scaling>
          <c:orientation val="minMax"/>
        </c:scaling>
        <c:axPos val="l"/>
        <c:majorGridlines/>
        <c:numFmt formatCode="0.0000" sourceLinked="1"/>
        <c:tickLblPos val="nextTo"/>
        <c:crossAx val="1147897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11" l="0.70000000000000062" r="0.70000000000000062" t="0.75000000000000411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vbmax!$B$41:$B$50</c:f>
              <c:numCache>
                <c:formatCode>0.0000</c:formatCode>
                <c:ptCount val="10"/>
                <c:pt idx="0">
                  <c:v>-0.31439024864177778</c:v>
                </c:pt>
                <c:pt idx="1">
                  <c:v>-0.28789534959917323</c:v>
                </c:pt>
                <c:pt idx="2">
                  <c:v>-0.26231004656243273</c:v>
                </c:pt>
                <c:pt idx="3">
                  <c:v>-0.23112722964345189</c:v>
                </c:pt>
                <c:pt idx="4">
                  <c:v>-0.20689465912825283</c:v>
                </c:pt>
                <c:pt idx="5">
                  <c:v>-0.19691242603825745</c:v>
                </c:pt>
                <c:pt idx="6">
                  <c:v>-0.19234112303442777</c:v>
                </c:pt>
                <c:pt idx="7">
                  <c:v>-0.18172916963268038</c:v>
                </c:pt>
                <c:pt idx="8">
                  <c:v>3.5757567666868391E-2</c:v>
                </c:pt>
                <c:pt idx="9">
                  <c:v>0.14971362111947917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vbmax!$D$41:$D$50</c:f>
              <c:numCache>
                <c:formatCode>0.0000</c:formatCode>
                <c:ptCount val="10"/>
                <c:pt idx="0">
                  <c:v>-0.42721374944785739</c:v>
                </c:pt>
                <c:pt idx="1">
                  <c:v>-0.40477862612644877</c:v>
                </c:pt>
                <c:pt idx="2">
                  <c:v>-0.34583254018608106</c:v>
                </c:pt>
                <c:pt idx="3">
                  <c:v>-0.32043966036110572</c:v>
                </c:pt>
                <c:pt idx="4">
                  <c:v>-0.30779816681888628</c:v>
                </c:pt>
                <c:pt idx="5">
                  <c:v>-0.29668613178661174</c:v>
                </c:pt>
                <c:pt idx="6">
                  <c:v>-0.31827770598065047</c:v>
                </c:pt>
                <c:pt idx="7">
                  <c:v>-0.12097045290372523</c:v>
                </c:pt>
                <c:pt idx="8">
                  <c:v>3.2949608443636036E-2</c:v>
                </c:pt>
                <c:pt idx="9">
                  <c:v>-8.2395879493867424E-2</c:v>
                </c:pt>
              </c:numCache>
            </c:numRef>
          </c:yVal>
        </c:ser>
        <c:axId val="114926720"/>
        <c:axId val="114928256"/>
      </c:scatterChart>
      <c:valAx>
        <c:axId val="114926720"/>
        <c:scaling>
          <c:orientation val="minMax"/>
        </c:scaling>
        <c:axPos val="b"/>
        <c:numFmt formatCode="General" sourceLinked="1"/>
        <c:tickLblPos val="nextTo"/>
        <c:crossAx val="114928256"/>
        <c:crosses val="autoZero"/>
        <c:crossBetween val="midCat"/>
      </c:valAx>
      <c:valAx>
        <c:axId val="114928256"/>
        <c:scaling>
          <c:orientation val="minMax"/>
        </c:scaling>
        <c:axPos val="l"/>
        <c:majorGridlines/>
        <c:numFmt formatCode="0.0000" sourceLinked="1"/>
        <c:tickLblPos val="nextTo"/>
        <c:crossAx val="1149267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33" l="0.70000000000000062" r="0.70000000000000062" t="0.75000000000000433" header="0.30000000000000032" footer="0.3000000000000003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(résultats!$D$25,résultats!$D$39,résultats!$D$53,résultats!$D$67,résultats!$D$81,résultats!$D$95)</c:f>
              <c:numCache>
                <c:formatCode>General</c:formatCode>
                <c:ptCount val="6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</c:numCache>
            </c:numRef>
          </c:xVal>
          <c:yVal>
            <c:numRef>
              <c:f>vbmax!$F$2:$F$7</c:f>
              <c:numCache>
                <c:formatCode>0.0000</c:formatCode>
                <c:ptCount val="6"/>
                <c:pt idx="0">
                  <c:v>-0.19413699207164656</c:v>
                </c:pt>
                <c:pt idx="1">
                  <c:v>-0.18140264798954966</c:v>
                </c:pt>
                <c:pt idx="2">
                  <c:v>-0.13890818843354133</c:v>
                </c:pt>
                <c:pt idx="3">
                  <c:v>-0.11791751137513984</c:v>
                </c:pt>
                <c:pt idx="4">
                  <c:v>-2.2036763167263711E-2</c:v>
                </c:pt>
                <c:pt idx="5">
                  <c:v>0.20900062232220867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(résultats!$D$25,résultats!$D$39,résultats!$D$53,résultats!$D$67,résultats!$D$81,résultats!$D$95)</c:f>
              <c:numCache>
                <c:formatCode>General</c:formatCode>
                <c:ptCount val="6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</c:numCache>
            </c:numRef>
          </c:xVal>
          <c:yVal>
            <c:numRef>
              <c:f>vbmax!$H$2:$H$7</c:f>
              <c:numCache>
                <c:formatCode>0.0000</c:formatCode>
                <c:ptCount val="6"/>
                <c:pt idx="0">
                  <c:v>-0.27224940087203586</c:v>
                </c:pt>
                <c:pt idx="1">
                  <c:v>-0.26830164522385141</c:v>
                </c:pt>
                <c:pt idx="2">
                  <c:v>-0.26595322259428122</c:v>
                </c:pt>
                <c:pt idx="3">
                  <c:v>-0.11022028760947146</c:v>
                </c:pt>
                <c:pt idx="4">
                  <c:v>1.1335259155167102E-2</c:v>
                </c:pt>
                <c:pt idx="5">
                  <c:v>8.0607162012240163E-2</c:v>
                </c:pt>
              </c:numCache>
            </c:numRef>
          </c:yVal>
        </c:ser>
        <c:axId val="115036928"/>
        <c:axId val="115039616"/>
      </c:scatterChart>
      <c:valAx>
        <c:axId val="115036928"/>
        <c:scaling>
          <c:orientation val="minMax"/>
          <c:max val="120000"/>
        </c:scaling>
        <c:axPos val="b"/>
        <c:numFmt formatCode="General" sourceLinked="1"/>
        <c:tickLblPos val="nextTo"/>
        <c:crossAx val="115039616"/>
        <c:crosses val="autoZero"/>
        <c:crossBetween val="midCat"/>
      </c:valAx>
      <c:valAx>
        <c:axId val="115039616"/>
        <c:scaling>
          <c:orientation val="minMax"/>
        </c:scaling>
        <c:axPos val="l"/>
        <c:majorGridlines/>
        <c:numFmt formatCode="0.0000" sourceLinked="1"/>
        <c:tickLblPos val="nextTo"/>
        <c:crossAx val="1150369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33" l="0.70000000000000062" r="0.70000000000000062" t="0.75000000000000433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(résultats!$D$26,résultats!$D$40,résultats!$D$54,résultats!$D$68,résultats!$D$82,résultats!$D$96,résultats!$D$110,résultats!$D$124)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</c:numCache>
            </c:numRef>
          </c:xVal>
          <c:yVal>
            <c:numRef>
              <c:f>vbmax!$F$15:$F$22</c:f>
              <c:numCache>
                <c:formatCode>0.0000</c:formatCode>
                <c:ptCount val="8"/>
                <c:pt idx="0">
                  <c:v>-0.27492777577198302</c:v>
                </c:pt>
                <c:pt idx="1">
                  <c:v>-0.2335294960179134</c:v>
                </c:pt>
                <c:pt idx="2">
                  <c:v>-0.22256769799852591</c:v>
                </c:pt>
                <c:pt idx="3">
                  <c:v>-0.22014210864955508</c:v>
                </c:pt>
                <c:pt idx="4">
                  <c:v>-0.20073739385778841</c:v>
                </c:pt>
                <c:pt idx="5">
                  <c:v>-0.15472116515087045</c:v>
                </c:pt>
                <c:pt idx="6">
                  <c:v>8.3530726183997806E-3</c:v>
                </c:pt>
                <c:pt idx="7">
                  <c:v>0.58520020115778204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(résultats!$D$26,résultats!$D$40,résultats!$D$54,résultats!$D$68,résultats!$D$82,résultats!$D$96,résultats!$D$110,résultats!$D$124)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</c:numCache>
            </c:numRef>
          </c:xVal>
          <c:yVal>
            <c:numRef>
              <c:f>vbmax!$H$15:$H$22</c:f>
              <c:numCache>
                <c:formatCode>0.0000</c:formatCode>
                <c:ptCount val="8"/>
                <c:pt idx="0">
                  <c:v>-0.21818630831180308</c:v>
                </c:pt>
                <c:pt idx="1">
                  <c:v>-0.2131326793455865</c:v>
                </c:pt>
                <c:pt idx="2">
                  <c:v>-0.17724275374821316</c:v>
                </c:pt>
                <c:pt idx="3">
                  <c:v>-0.16343149374723076</c:v>
                </c:pt>
                <c:pt idx="4">
                  <c:v>-0.12839544613207307</c:v>
                </c:pt>
                <c:pt idx="5">
                  <c:v>-3.9615126851166971E-2</c:v>
                </c:pt>
                <c:pt idx="6">
                  <c:v>6.3621034194580539E-2</c:v>
                </c:pt>
                <c:pt idx="7">
                  <c:v>0.54271533824891049</c:v>
                </c:pt>
              </c:numCache>
            </c:numRef>
          </c:yVal>
        </c:ser>
        <c:axId val="115451008"/>
        <c:axId val="115455104"/>
      </c:scatterChart>
      <c:valAx>
        <c:axId val="115451008"/>
        <c:scaling>
          <c:orientation val="minMax"/>
          <c:max val="120000"/>
        </c:scaling>
        <c:axPos val="b"/>
        <c:numFmt formatCode="General" sourceLinked="1"/>
        <c:tickLblPos val="nextTo"/>
        <c:crossAx val="115455104"/>
        <c:crosses val="autoZero"/>
        <c:crossBetween val="midCat"/>
      </c:valAx>
      <c:valAx>
        <c:axId val="115455104"/>
        <c:scaling>
          <c:orientation val="minMax"/>
        </c:scaling>
        <c:axPos val="l"/>
        <c:majorGridlines/>
        <c:numFmt formatCode="0.0000" sourceLinked="1"/>
        <c:tickLblPos val="nextTo"/>
        <c:crossAx val="1154510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(résultats!$D$27,résultats!$D$41,résultats!$D$55,résultats!$D$69,résultats!$D$83,résultats!$D$97,résultats!$D$111)</c:f>
              <c:numCache>
                <c:formatCode>General</c:formatCode>
                <c:ptCount val="7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</c:numCache>
            </c:numRef>
          </c:xVal>
          <c:yVal>
            <c:numRef>
              <c:f>vbmax!$F$27:$F$33</c:f>
              <c:numCache>
                <c:formatCode>0.0000</c:formatCode>
                <c:ptCount val="7"/>
                <c:pt idx="0">
                  <c:v>-0.28675252384821581</c:v>
                </c:pt>
                <c:pt idx="1">
                  <c:v>-0.26244998440948875</c:v>
                </c:pt>
                <c:pt idx="2">
                  <c:v>-0.24619387117648228</c:v>
                </c:pt>
                <c:pt idx="3">
                  <c:v>-0.22466676570436608</c:v>
                </c:pt>
                <c:pt idx="4">
                  <c:v>-0.21277204870460525</c:v>
                </c:pt>
                <c:pt idx="5">
                  <c:v>0.20179382319882416</c:v>
                </c:pt>
                <c:pt idx="6">
                  <c:v>0.9770261729146098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(résultats!$D$27,résultats!$D$41,résultats!$D$55,résultats!$D$69,résultats!$D$83,résultats!$D$97,résultats!$D$111)</c:f>
              <c:numCache>
                <c:formatCode>General</c:formatCode>
                <c:ptCount val="7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</c:numCache>
            </c:numRef>
          </c:xVal>
          <c:yVal>
            <c:numRef>
              <c:f>vbmax!$H$27:$H$33</c:f>
              <c:numCache>
                <c:formatCode>0.0000</c:formatCode>
                <c:ptCount val="7"/>
                <c:pt idx="0">
                  <c:v>-0.26691647103195215</c:v>
                </c:pt>
                <c:pt idx="1">
                  <c:v>-0.31052349166173276</c:v>
                </c:pt>
                <c:pt idx="2">
                  <c:v>-0.2344692353330419</c:v>
                </c:pt>
                <c:pt idx="3">
                  <c:v>-0.20179967454370495</c:v>
                </c:pt>
                <c:pt idx="4">
                  <c:v>-0.12281030104383921</c:v>
                </c:pt>
                <c:pt idx="5">
                  <c:v>0.16339935554140367</c:v>
                </c:pt>
                <c:pt idx="6">
                  <c:v>0.81064309412153823</c:v>
                </c:pt>
              </c:numCache>
            </c:numRef>
          </c:yVal>
        </c:ser>
        <c:axId val="115501696"/>
        <c:axId val="115513984"/>
      </c:scatterChart>
      <c:valAx>
        <c:axId val="115501696"/>
        <c:scaling>
          <c:orientation val="minMax"/>
          <c:max val="120000"/>
        </c:scaling>
        <c:axPos val="b"/>
        <c:numFmt formatCode="General" sourceLinked="1"/>
        <c:tickLblPos val="nextTo"/>
        <c:crossAx val="115513984"/>
        <c:crosses val="autoZero"/>
        <c:crossBetween val="midCat"/>
      </c:valAx>
      <c:valAx>
        <c:axId val="115513984"/>
        <c:scaling>
          <c:orientation val="minMax"/>
        </c:scaling>
        <c:axPos val="l"/>
        <c:majorGridlines/>
        <c:numFmt formatCode="0.0000" sourceLinked="1"/>
        <c:tickLblPos val="nextTo"/>
        <c:crossAx val="1155016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(résultats!$D$28,résultats!$D$42,résultats!$D$56,résultats!$D$70,résultats!$D$84,résultats!$D$98,résultats!$D$112,résultats!$D$126)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</c:numCache>
            </c:numRef>
          </c:xVal>
          <c:yVal>
            <c:numRef>
              <c:f>vbmax!$F$41:$F$48</c:f>
              <c:numCache>
                <c:formatCode>0.0000</c:formatCode>
                <c:ptCount val="8"/>
                <c:pt idx="0">
                  <c:v>-0.26419920749768888</c:v>
                </c:pt>
                <c:pt idx="1">
                  <c:v>-0.26305638174673146</c:v>
                </c:pt>
                <c:pt idx="2">
                  <c:v>-0.20493552926946867</c:v>
                </c:pt>
                <c:pt idx="3">
                  <c:v>-0.19045196209917165</c:v>
                </c:pt>
                <c:pt idx="4">
                  <c:v>-0.1684117511878501</c:v>
                </c:pt>
                <c:pt idx="5">
                  <c:v>-0.10903145808708321</c:v>
                </c:pt>
                <c:pt idx="6">
                  <c:v>-0.13247104746896488</c:v>
                </c:pt>
                <c:pt idx="7">
                  <c:v>5.0824209199898815E-2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(résultats!$D$28,résultats!$D$42,résultats!$D$56,résultats!$D$70,résultats!$D$84,résultats!$D$98,résultats!$D$112,résultats!$D$126)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</c:numCache>
            </c:numRef>
          </c:xVal>
          <c:yVal>
            <c:numRef>
              <c:f>vbmax!$H$41:$H$48</c:f>
              <c:numCache>
                <c:formatCode>0.0000</c:formatCode>
                <c:ptCount val="8"/>
                <c:pt idx="0">
                  <c:v>-0.28632454406451496</c:v>
                </c:pt>
                <c:pt idx="1">
                  <c:v>-0.28494482747207317</c:v>
                </c:pt>
                <c:pt idx="2">
                  <c:v>-0.32327751229991664</c:v>
                </c:pt>
                <c:pt idx="3">
                  <c:v>-0.24021974135452442</c:v>
                </c:pt>
                <c:pt idx="4">
                  <c:v>-0.1860889417778252</c:v>
                </c:pt>
                <c:pt idx="5">
                  <c:v>-0.14735454929099756</c:v>
                </c:pt>
                <c:pt idx="6">
                  <c:v>-1.446834871761124E-2</c:v>
                </c:pt>
                <c:pt idx="7">
                  <c:v>0.30952230879123466</c:v>
                </c:pt>
              </c:numCache>
            </c:numRef>
          </c:yVal>
        </c:ser>
        <c:axId val="115110272"/>
        <c:axId val="115143040"/>
      </c:scatterChart>
      <c:valAx>
        <c:axId val="115110272"/>
        <c:scaling>
          <c:orientation val="minMax"/>
          <c:max val="120000"/>
        </c:scaling>
        <c:axPos val="b"/>
        <c:numFmt formatCode="General" sourceLinked="1"/>
        <c:tickLblPos val="nextTo"/>
        <c:crossAx val="115143040"/>
        <c:crosses val="autoZero"/>
        <c:crossBetween val="midCat"/>
      </c:valAx>
      <c:valAx>
        <c:axId val="115143040"/>
        <c:scaling>
          <c:orientation val="minMax"/>
        </c:scaling>
        <c:axPos val="l"/>
        <c:majorGridlines/>
        <c:numFmt formatCode="0.0000" sourceLinked="1"/>
        <c:tickLblPos val="nextTo"/>
        <c:crossAx val="1151102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77" l="0.70000000000000062" r="0.70000000000000062" t="0.75000000000000477" header="0.30000000000000032" footer="0.30000000000000032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vbmax!$K$2:$K$11</c:f>
              <c:numCache>
                <c:formatCode>0.0000</c:formatCode>
                <c:ptCount val="10"/>
                <c:pt idx="0">
                  <c:v>-0.28528317645412771</c:v>
                </c:pt>
                <c:pt idx="1">
                  <c:v>-0.26639156710156636</c:v>
                </c:pt>
                <c:pt idx="2">
                  <c:v>-0.25531315420963224</c:v>
                </c:pt>
                <c:pt idx="3">
                  <c:v>-0.2365848056786363</c:v>
                </c:pt>
                <c:pt idx="4">
                  <c:v>-0.22046863029268579</c:v>
                </c:pt>
                <c:pt idx="5">
                  <c:v>-0.18732668351492077</c:v>
                </c:pt>
                <c:pt idx="6">
                  <c:v>-1.4433473477220526E-2</c:v>
                </c:pt>
                <c:pt idx="7">
                  <c:v>0.16853526154851248</c:v>
                </c:pt>
                <c:pt idx="8">
                  <c:v>0.71324333121403105</c:v>
                </c:pt>
                <c:pt idx="9" formatCode="@">
                  <c:v>0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vbmax!$M$2:$M$10</c:f>
              <c:numCache>
                <c:formatCode>0.0000</c:formatCode>
                <c:ptCount val="9"/>
                <c:pt idx="0">
                  <c:v>-0.29894856305795214</c:v>
                </c:pt>
                <c:pt idx="1">
                  <c:v>-0.30067751148003607</c:v>
                </c:pt>
                <c:pt idx="2">
                  <c:v>-0.28070655750765378</c:v>
                </c:pt>
                <c:pt idx="3">
                  <c:v>-0.24442382059619738</c:v>
                </c:pt>
                <c:pt idx="4">
                  <c:v>-0.26528708650110555</c:v>
                </c:pt>
                <c:pt idx="5">
                  <c:v>-0.19345613392799968</c:v>
                </c:pt>
                <c:pt idx="6">
                  <c:v>-7.5607253153781376E-2</c:v>
                </c:pt>
                <c:pt idx="7">
                  <c:v>0.24250190929978033</c:v>
                </c:pt>
                <c:pt idx="8">
                  <c:v>1.026069883299074</c:v>
                </c:pt>
              </c:numCache>
            </c:numRef>
          </c:yVal>
        </c:ser>
        <c:axId val="115611904"/>
        <c:axId val="115620096"/>
      </c:scatterChart>
      <c:valAx>
        <c:axId val="115611904"/>
        <c:scaling>
          <c:orientation val="minMax"/>
        </c:scaling>
        <c:axPos val="b"/>
        <c:numFmt formatCode="General" sourceLinked="1"/>
        <c:tickLblPos val="nextTo"/>
        <c:crossAx val="115620096"/>
        <c:crosses val="autoZero"/>
        <c:crossBetween val="midCat"/>
      </c:valAx>
      <c:valAx>
        <c:axId val="115620096"/>
        <c:scaling>
          <c:orientation val="minMax"/>
        </c:scaling>
        <c:axPos val="l"/>
        <c:majorGridlines/>
        <c:numFmt formatCode="0.0000" sourceLinked="1"/>
        <c:tickLblPos val="nextTo"/>
        <c:crossAx val="1156119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77" l="0.70000000000000062" r="0.70000000000000062" t="0.75000000000000477" header="0.30000000000000032" footer="0.3000000000000003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(résultats!$D$30,résultats!$D$44,résultats!$D$58,résultats!$D$72,résultats!$D$86,résultats!$D$100,résultats!$D$114)</c:f>
              <c:numCache>
                <c:formatCode>General</c:formatCode>
                <c:ptCount val="7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</c:numCache>
            </c:numRef>
          </c:xVal>
          <c:yVal>
            <c:numRef>
              <c:f>vbmax!$K$15:$K$21</c:f>
              <c:numCache>
                <c:formatCode>0.0000</c:formatCode>
                <c:ptCount val="7"/>
                <c:pt idx="0">
                  <c:v>-0.28493333183648767</c:v>
                </c:pt>
                <c:pt idx="1">
                  <c:v>-0.2563626880625523</c:v>
                </c:pt>
                <c:pt idx="2">
                  <c:v>-0.21032313638112507</c:v>
                </c:pt>
                <c:pt idx="3">
                  <c:v>-0.19007879450702228</c:v>
                </c:pt>
                <c:pt idx="4">
                  <c:v>-0.15917585328215342</c:v>
                </c:pt>
                <c:pt idx="5">
                  <c:v>0.18245907733058547</c:v>
                </c:pt>
                <c:pt idx="6">
                  <c:v>1.4060289660393175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(résultats!$D$30,résultats!$D$44,résultats!$D$58,résultats!$D$72,résultats!$D$86,résultats!$D$100,résultats!$D$114)</c:f>
              <c:numCache>
                <c:formatCode>General</c:formatCode>
                <c:ptCount val="7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</c:numCache>
            </c:numRef>
          </c:xVal>
          <c:yVal>
            <c:numRef>
              <c:f>vbmax!$M$15:$M$21</c:f>
              <c:numCache>
                <c:formatCode>0.0000</c:formatCode>
                <c:ptCount val="7"/>
                <c:pt idx="0">
                  <c:v>-0.28136894633016052</c:v>
                </c:pt>
                <c:pt idx="1">
                  <c:v>-0.24661193415696758</c:v>
                </c:pt>
                <c:pt idx="2">
                  <c:v>-0.22467854091605355</c:v>
                </c:pt>
                <c:pt idx="3">
                  <c:v>-0.16968591305702127</c:v>
                </c:pt>
                <c:pt idx="4">
                  <c:v>-7.1526780078025529E-2</c:v>
                </c:pt>
                <c:pt idx="5">
                  <c:v>0.26543576618941433</c:v>
                </c:pt>
                <c:pt idx="6">
                  <c:v>1.0217487852194682</c:v>
                </c:pt>
              </c:numCache>
            </c:numRef>
          </c:yVal>
        </c:ser>
        <c:axId val="115663616"/>
        <c:axId val="115687424"/>
      </c:scatterChart>
      <c:valAx>
        <c:axId val="115663616"/>
        <c:scaling>
          <c:orientation val="minMax"/>
          <c:max val="120000"/>
        </c:scaling>
        <c:axPos val="b"/>
        <c:numFmt formatCode="General" sourceLinked="1"/>
        <c:tickLblPos val="nextTo"/>
        <c:crossAx val="115687424"/>
        <c:crosses val="autoZero"/>
        <c:crossBetween val="midCat"/>
      </c:valAx>
      <c:valAx>
        <c:axId val="115687424"/>
        <c:scaling>
          <c:orientation val="minMax"/>
        </c:scaling>
        <c:axPos val="l"/>
        <c:majorGridlines/>
        <c:numFmt formatCode="0.0000" sourceLinked="1"/>
        <c:tickLblPos val="nextTo"/>
        <c:crossAx val="1156636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5" l="0.70000000000000062" r="0.70000000000000062" t="0.750000000000005" header="0.30000000000000032" footer="0.30000000000000032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(résultats!$D$31,résultats!$D$45,résultats!$D$59,résultats!$D$73,résultats!$D$87)</c:f>
              <c:numCache>
                <c:formatCode>General</c:formatCode>
                <c:ptCount val="5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</c:numCache>
            </c:numRef>
          </c:xVal>
          <c:yVal>
            <c:numRef>
              <c:f>vbmax!$K$27:$K$31</c:f>
              <c:numCache>
                <c:formatCode>0.0000</c:formatCode>
                <c:ptCount val="5"/>
                <c:pt idx="0">
                  <c:v>-0.23247996216499328</c:v>
                </c:pt>
                <c:pt idx="1">
                  <c:v>-0.18963565799134494</c:v>
                </c:pt>
                <c:pt idx="2">
                  <c:v>-0.16757212410551406</c:v>
                </c:pt>
                <c:pt idx="3">
                  <c:v>-0.1284128499043406</c:v>
                </c:pt>
                <c:pt idx="4">
                  <c:v>-8.3749353718964067E-2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(résultats!$D$31,résultats!$D$45,résultats!$D$59,résultats!$D$73,résultats!$D$87)</c:f>
              <c:numCache>
                <c:formatCode>General</c:formatCode>
                <c:ptCount val="5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</c:numCache>
            </c:numRef>
          </c:xVal>
          <c:yVal>
            <c:numRef>
              <c:f>vbmax!$M$27:$M$31</c:f>
              <c:numCache>
                <c:formatCode>0.0000</c:formatCode>
                <c:ptCount val="5"/>
                <c:pt idx="0">
                  <c:v>-0.33353647147803722</c:v>
                </c:pt>
                <c:pt idx="1">
                  <c:v>-0.29231098105455167</c:v>
                </c:pt>
                <c:pt idx="2">
                  <c:v>-0.20419295765464449</c:v>
                </c:pt>
                <c:pt idx="3">
                  <c:v>-0.10674949678941341</c:v>
                </c:pt>
                <c:pt idx="4">
                  <c:v>-2.0427271394909796E-2</c:v>
                </c:pt>
              </c:numCache>
            </c:numRef>
          </c:yVal>
        </c:ser>
        <c:axId val="115706112"/>
        <c:axId val="115709440"/>
      </c:scatterChart>
      <c:valAx>
        <c:axId val="115706112"/>
        <c:scaling>
          <c:orientation val="minMax"/>
          <c:max val="120000"/>
        </c:scaling>
        <c:axPos val="b"/>
        <c:numFmt formatCode="General" sourceLinked="1"/>
        <c:tickLblPos val="nextTo"/>
        <c:crossAx val="115709440"/>
        <c:crosses val="autoZero"/>
        <c:crossBetween val="midCat"/>
      </c:valAx>
      <c:valAx>
        <c:axId val="115709440"/>
        <c:scaling>
          <c:orientation val="minMax"/>
        </c:scaling>
        <c:axPos val="l"/>
        <c:majorGridlines/>
        <c:numFmt formatCode="0.0000" sourceLinked="1"/>
        <c:tickLblPos val="nextTo"/>
        <c:crossAx val="11570611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5" l="0.70000000000000062" r="0.70000000000000062" t="0.750000000000005" header="0.30000000000000032" footer="0.30000000000000032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(résultats!$D$32,résultats!$D$46,résultats!$D$60,résultats!$D$74,résultats!$D$88)</c:f>
              <c:numCache>
                <c:formatCode>General</c:formatCode>
                <c:ptCount val="5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</c:numCache>
            </c:numRef>
          </c:xVal>
          <c:yVal>
            <c:numRef>
              <c:f>vbmax!$K$41:$K$45</c:f>
              <c:numCache>
                <c:formatCode>0.0000</c:formatCode>
                <c:ptCount val="5"/>
                <c:pt idx="0">
                  <c:v>-0.25445020415278685</c:v>
                </c:pt>
                <c:pt idx="1">
                  <c:v>-0.20353615079890858</c:v>
                </c:pt>
                <c:pt idx="2">
                  <c:v>-0.19325071904029184</c:v>
                </c:pt>
                <c:pt idx="3">
                  <c:v>-0.18060966685623228</c:v>
                </c:pt>
                <c:pt idx="4">
                  <c:v>0.91298128491197583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(résultats!$D$32,résultats!$D$46,résultats!$D$60,résultats!$D$74,résultats!$D$88)</c:f>
              <c:numCache>
                <c:formatCode>General</c:formatCode>
                <c:ptCount val="5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</c:numCache>
            </c:numRef>
          </c:xVal>
          <c:yVal>
            <c:numRef>
              <c:f>vbmax!$M$41:$M$45</c:f>
              <c:numCache>
                <c:formatCode>0.0000</c:formatCode>
                <c:ptCount val="5"/>
                <c:pt idx="0">
                  <c:v>-0.22475701680541249</c:v>
                </c:pt>
                <c:pt idx="1">
                  <c:v>-0.2261377683567358</c:v>
                </c:pt>
                <c:pt idx="2">
                  <c:v>-0.1142171848487513</c:v>
                </c:pt>
                <c:pt idx="3">
                  <c:v>-5.2333824188132386E-2</c:v>
                </c:pt>
                <c:pt idx="4">
                  <c:v>0.85462016339866187</c:v>
                </c:pt>
              </c:numCache>
            </c:numRef>
          </c:yVal>
        </c:ser>
        <c:axId val="115582848"/>
        <c:axId val="115584384"/>
      </c:scatterChart>
      <c:valAx>
        <c:axId val="115582848"/>
        <c:scaling>
          <c:orientation val="minMax"/>
          <c:max val="120000"/>
        </c:scaling>
        <c:axPos val="b"/>
        <c:numFmt formatCode="General" sourceLinked="1"/>
        <c:tickLblPos val="nextTo"/>
        <c:crossAx val="115584384"/>
        <c:crosses val="autoZero"/>
        <c:crossBetween val="midCat"/>
      </c:valAx>
      <c:valAx>
        <c:axId val="115584384"/>
        <c:scaling>
          <c:orientation val="minMax"/>
        </c:scaling>
        <c:axPos val="l"/>
        <c:majorGridlines/>
        <c:numFmt formatCode="0.0000" sourceLinked="1"/>
        <c:tickLblPos val="nextTo"/>
        <c:crossAx val="11558284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522" l="0.70000000000000062" r="0.70000000000000062" t="0.75000000000000522" header="0.30000000000000032" footer="0.3000000000000003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(résultats!$D$33,résultats!$D$47,résultats!$D$61,résultats!$D$75,résultats!$D$89,résultats!$D$103,résultats!$D$117,résultats!$D$131)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</c:numCache>
            </c:numRef>
          </c:xVal>
          <c:yVal>
            <c:numRef>
              <c:f>vbmax!$O$2:$O$9</c:f>
              <c:numCache>
                <c:formatCode>0.0000</c:formatCode>
                <c:ptCount val="8"/>
                <c:pt idx="0">
                  <c:v>-0.29916034628718202</c:v>
                </c:pt>
                <c:pt idx="1">
                  <c:v>-0.28663590897566915</c:v>
                </c:pt>
                <c:pt idx="2">
                  <c:v>-0.25785535843114976</c:v>
                </c:pt>
                <c:pt idx="3">
                  <c:v>-0.24346508315889007</c:v>
                </c:pt>
                <c:pt idx="4">
                  <c:v>-0.21881269910252302</c:v>
                </c:pt>
                <c:pt idx="5">
                  <c:v>-0.14254657245699759</c:v>
                </c:pt>
                <c:pt idx="6">
                  <c:v>-0.11742772891044383</c:v>
                </c:pt>
                <c:pt idx="7">
                  <c:v>0.35740470912510724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(résultats!$D$33,résultats!$D$47,résultats!$D$61,résultats!$D$75,résultats!$D$89,résultats!$D$103,résultats!$D$117,résultats!$D$131)</c:f>
              <c:numCache>
                <c:formatCode>General</c:formatCode>
                <c:ptCount val="8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</c:numCache>
            </c:numRef>
          </c:xVal>
          <c:yVal>
            <c:numRef>
              <c:f>vbmax!$Q$2:$Q$9</c:f>
              <c:numCache>
                <c:formatCode>0.0000</c:formatCode>
                <c:ptCount val="8"/>
                <c:pt idx="0">
                  <c:v>-0.29692546123182123</c:v>
                </c:pt>
                <c:pt idx="1">
                  <c:v>-0.29463677760114254</c:v>
                </c:pt>
                <c:pt idx="2">
                  <c:v>-0.27970461841199618</c:v>
                </c:pt>
                <c:pt idx="3">
                  <c:v>-0.26029328221559478</c:v>
                </c:pt>
                <c:pt idx="4">
                  <c:v>-0.22415602130780166</c:v>
                </c:pt>
                <c:pt idx="5">
                  <c:v>-0.12526764329978482</c:v>
                </c:pt>
                <c:pt idx="6">
                  <c:v>-6.4859763535946441E-2</c:v>
                </c:pt>
                <c:pt idx="7">
                  <c:v>0.19029133424498421</c:v>
                </c:pt>
              </c:numCache>
            </c:numRef>
          </c:yVal>
        </c:ser>
        <c:axId val="116003968"/>
        <c:axId val="116048256"/>
      </c:scatterChart>
      <c:valAx>
        <c:axId val="116003968"/>
        <c:scaling>
          <c:orientation val="minMax"/>
          <c:max val="120000"/>
        </c:scaling>
        <c:axPos val="b"/>
        <c:numFmt formatCode="General" sourceLinked="1"/>
        <c:tickLblPos val="nextTo"/>
        <c:crossAx val="116048256"/>
        <c:crosses val="autoZero"/>
        <c:crossBetween val="midCat"/>
      </c:valAx>
      <c:valAx>
        <c:axId val="116048256"/>
        <c:scaling>
          <c:orientation val="minMax"/>
        </c:scaling>
        <c:axPos val="l"/>
        <c:majorGridlines/>
        <c:numFmt formatCode="0.0000" sourceLinked="1"/>
        <c:tickLblPos val="nextTo"/>
        <c:crossAx val="1160039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522" l="0.70000000000000062" r="0.70000000000000062" t="0.75000000000000522" header="0.30000000000000032" footer="0.30000000000000032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VB max=f(NC)</c:v>
          </c:tx>
          <c:xVal>
            <c:numRef>
              <c:f>(résultats!$D$34,résultats!$D$48,résultats!$D$62,résultats!$D$76,résultats!$D$90,résultats!$D$104,résultats!$D$118,résultats!$D$132,résultats!$D$146)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vbmax!$O$15:$O$23</c:f>
              <c:numCache>
                <c:formatCode>0.0000</c:formatCode>
                <c:ptCount val="9"/>
                <c:pt idx="0">
                  <c:v>-0.30380161821453971</c:v>
                </c:pt>
                <c:pt idx="1">
                  <c:v>-0.28539979132667437</c:v>
                </c:pt>
                <c:pt idx="2">
                  <c:v>-0.24843287672937842</c:v>
                </c:pt>
                <c:pt idx="3">
                  <c:v>-0.22352393995340866</c:v>
                </c:pt>
                <c:pt idx="4">
                  <c:v>-0.21685356924373886</c:v>
                </c:pt>
                <c:pt idx="5">
                  <c:v>-0.1959561840833747</c:v>
                </c:pt>
                <c:pt idx="6">
                  <c:v>-0.15376492319598772</c:v>
                </c:pt>
                <c:pt idx="7">
                  <c:v>-8.4449042954244144E-2</c:v>
                </c:pt>
                <c:pt idx="8">
                  <c:v>0.13907834474322242</c:v>
                </c:pt>
              </c:numCache>
            </c:numRef>
          </c:yVal>
        </c:ser>
        <c:ser>
          <c:idx val="1"/>
          <c:order val="1"/>
          <c:tx>
            <c:v>fRC=f(NC)</c:v>
          </c:tx>
          <c:xVal>
            <c:numRef>
              <c:f>(résultats!$D$34,résultats!$D$48,résultats!$D$62,résultats!$D$76,résultats!$D$90,résultats!$D$104,résultats!$D$118,résultats!$D$132,résultats!$D$146)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vbmax!$Q$15:$Q$23</c:f>
              <c:numCache>
                <c:formatCode>0.0000</c:formatCode>
                <c:ptCount val="9"/>
                <c:pt idx="0">
                  <c:v>-0.28684002006913711</c:v>
                </c:pt>
                <c:pt idx="1">
                  <c:v>-0.28637632205430363</c:v>
                </c:pt>
                <c:pt idx="2">
                  <c:v>-0.27990216697169024</c:v>
                </c:pt>
                <c:pt idx="3">
                  <c:v>-0.26117058511944163</c:v>
                </c:pt>
                <c:pt idx="4">
                  <c:v>-0.26076717978518305</c:v>
                </c:pt>
                <c:pt idx="5">
                  <c:v>-0.17243330807098969</c:v>
                </c:pt>
                <c:pt idx="6">
                  <c:v>-8.1107248238311488E-2</c:v>
                </c:pt>
                <c:pt idx="7">
                  <c:v>4.6197365557339887E-2</c:v>
                </c:pt>
                <c:pt idx="8">
                  <c:v>0.15600095205502887</c:v>
                </c:pt>
              </c:numCache>
            </c:numRef>
          </c:yVal>
        </c:ser>
        <c:axId val="116053888"/>
        <c:axId val="117180288"/>
      </c:scatterChart>
      <c:valAx>
        <c:axId val="116053888"/>
        <c:scaling>
          <c:orientation val="minMax"/>
        </c:scaling>
        <c:axPos val="b"/>
        <c:numFmt formatCode="General" sourceLinked="1"/>
        <c:tickLblPos val="nextTo"/>
        <c:crossAx val="117180288"/>
        <c:crosses val="autoZero"/>
        <c:crossBetween val="midCat"/>
      </c:valAx>
      <c:valAx>
        <c:axId val="117180288"/>
        <c:scaling>
          <c:orientation val="minMax"/>
        </c:scaling>
        <c:axPos val="l"/>
        <c:majorGridlines/>
        <c:numFmt formatCode="0.0000" sourceLinked="1"/>
        <c:tickLblPos val="nextTo"/>
        <c:crossAx val="1160538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544" l="0.70000000000000062" r="0.70000000000000062" t="0.75000000000000544" header="0.30000000000000032" footer="0.30000000000000032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7.6559629006164018E-2"/>
          <c:y val="1.2464369678016845E-2"/>
          <c:w val="0.7925973022011156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(résultats!$R$7,résultats!$R$21,résultats!$R$35,résultats!$R$49,résultats!$R$63,résultats!$R$77,résultats!$R$91,résultats!$R$105,résultats!$R$119,résultats!$R$133)</c:f>
              <c:numCache>
                <c:formatCode>0.00</c:formatCode>
                <c:ptCount val="10"/>
                <c:pt idx="0">
                  <c:v>782.67</c:v>
                </c:pt>
                <c:pt idx="1">
                  <c:v>815.06</c:v>
                </c:pt>
                <c:pt idx="2">
                  <c:v>775.99</c:v>
                </c:pt>
                <c:pt idx="3">
                  <c:v>810.79</c:v>
                </c:pt>
                <c:pt idx="4">
                  <c:v>827.28</c:v>
                </c:pt>
                <c:pt idx="5">
                  <c:v>837.69</c:v>
                </c:pt>
                <c:pt idx="6">
                  <c:v>856.31</c:v>
                </c:pt>
                <c:pt idx="7">
                  <c:v>868.53</c:v>
                </c:pt>
                <c:pt idx="8">
                  <c:v>1010.61</c:v>
                </c:pt>
                <c:pt idx="9">
                  <c:v>1151.49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(résultats!$R$8,résultats!$R$22,résultats!$R$36,résultats!$R$50,résultats!$R$64,résultats!$R$78,résultats!$R$92,résultats!$R$106,résultats!$R$134)</c:f>
              <c:numCache>
                <c:formatCode>0.00</c:formatCode>
                <c:ptCount val="9"/>
                <c:pt idx="0">
                  <c:v>796.98</c:v>
                </c:pt>
                <c:pt idx="1">
                  <c:v>830.24</c:v>
                </c:pt>
                <c:pt idx="2">
                  <c:v>824.81</c:v>
                </c:pt>
                <c:pt idx="3">
                  <c:v>830.87</c:v>
                </c:pt>
                <c:pt idx="4">
                  <c:v>853.68</c:v>
                </c:pt>
                <c:pt idx="5">
                  <c:v>863.66</c:v>
                </c:pt>
                <c:pt idx="6">
                  <c:v>878.17</c:v>
                </c:pt>
                <c:pt idx="7">
                  <c:v>911.03</c:v>
                </c:pt>
                <c:pt idx="8">
                  <c:v>977.26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(résultats!$R$9,résultats!$R$23,résultats!$R$37,résultats!$R$51,résultats!$R$65,résultats!$R$79,résultats!$R$93,résultats!$R$107,résultats!$R$121,résultats!$R$135,résultats!$R$149)</c:f>
              <c:numCache>
                <c:formatCode>0.00</c:formatCode>
                <c:ptCount val="11"/>
                <c:pt idx="0">
                  <c:v>789.03</c:v>
                </c:pt>
                <c:pt idx="1">
                  <c:v>769.77</c:v>
                </c:pt>
                <c:pt idx="2">
                  <c:v>763.68</c:v>
                </c:pt>
                <c:pt idx="3">
                  <c:v>772.65</c:v>
                </c:pt>
                <c:pt idx="4">
                  <c:v>783.86</c:v>
                </c:pt>
                <c:pt idx="5">
                  <c:v>786.43</c:v>
                </c:pt>
                <c:pt idx="6">
                  <c:v>799.43</c:v>
                </c:pt>
                <c:pt idx="7">
                  <c:v>822.15</c:v>
                </c:pt>
                <c:pt idx="8">
                  <c:v>838.26</c:v>
                </c:pt>
                <c:pt idx="9">
                  <c:v>875.29</c:v>
                </c:pt>
                <c:pt idx="10">
                  <c:v>1034.73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(résultats!$R$24,résultats!$R$38,résultats!$R$52,résultats!$R$66,résultats!$R$80,résultats!$R$94,résultats!$R$108,résultats!$R$122,résultats!$R$136,résultats!$R$150)</c:f>
              <c:numCache>
                <c:formatCode>0.00</c:formatCode>
                <c:ptCount val="10"/>
                <c:pt idx="0">
                  <c:v>795.55</c:v>
                </c:pt>
                <c:pt idx="1">
                  <c:v>800.69</c:v>
                </c:pt>
                <c:pt idx="2">
                  <c:v>780.99</c:v>
                </c:pt>
                <c:pt idx="3">
                  <c:v>797.05</c:v>
                </c:pt>
                <c:pt idx="4">
                  <c:v>802.24</c:v>
                </c:pt>
                <c:pt idx="5">
                  <c:v>809.26</c:v>
                </c:pt>
                <c:pt idx="6">
                  <c:v>998.74</c:v>
                </c:pt>
                <c:pt idx="7">
                  <c:v>909</c:v>
                </c:pt>
                <c:pt idx="8">
                  <c:v>979.94</c:v>
                </c:pt>
                <c:pt idx="9">
                  <c:v>1228.24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(résultats!$R$11,résultats!$R$25,résultats!$R$39,résultats!$R$53,résultats!$R$67,résultats!$R$81,résultats!$R$95)</c:f>
              <c:numCache>
                <c:formatCode>0.00</c:formatCode>
                <c:ptCount val="7"/>
                <c:pt idx="0">
                  <c:v>799.43</c:v>
                </c:pt>
                <c:pt idx="1">
                  <c:v>811.17</c:v>
                </c:pt>
                <c:pt idx="2">
                  <c:v>814</c:v>
                </c:pt>
                <c:pt idx="3">
                  <c:v>845.35</c:v>
                </c:pt>
                <c:pt idx="4">
                  <c:v>877.46</c:v>
                </c:pt>
                <c:pt idx="5">
                  <c:v>937.43</c:v>
                </c:pt>
                <c:pt idx="6">
                  <c:v>972.24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(résultats!$R$12,résultats!$R$26,résultats!$R$40,résultats!$R$54,résultats!$R$68,résultats!$R$82,résultats!$R$96,résultats!$R$110,résultats!$R$124)</c:f>
              <c:numCache>
                <c:formatCode>0.00</c:formatCode>
                <c:ptCount val="9"/>
                <c:pt idx="0">
                  <c:v>806.25</c:v>
                </c:pt>
                <c:pt idx="1">
                  <c:v>831.58</c:v>
                </c:pt>
                <c:pt idx="2">
                  <c:v>837.59</c:v>
                </c:pt>
                <c:pt idx="3">
                  <c:v>847.48</c:v>
                </c:pt>
                <c:pt idx="4">
                  <c:v>854.58</c:v>
                </c:pt>
                <c:pt idx="5">
                  <c:v>977.93</c:v>
                </c:pt>
                <c:pt idx="6">
                  <c:v>932.27</c:v>
                </c:pt>
                <c:pt idx="7">
                  <c:v>971.29</c:v>
                </c:pt>
                <c:pt idx="8">
                  <c:v>1238.95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(résultats!$R$13,résultats!$R$27,résultats!$R$41,résultats!$R$55,résultats!$R$69,résultats!$R$83,résultats!$R$97,résultats!$R$111)</c:f>
              <c:numCache>
                <c:formatCode>0.00</c:formatCode>
                <c:ptCount val="8"/>
                <c:pt idx="0">
                  <c:v>814.78</c:v>
                </c:pt>
                <c:pt idx="1">
                  <c:v>823.8</c:v>
                </c:pt>
                <c:pt idx="2">
                  <c:v>853.64</c:v>
                </c:pt>
                <c:pt idx="3">
                  <c:v>847.28</c:v>
                </c:pt>
                <c:pt idx="4">
                  <c:v>856.46</c:v>
                </c:pt>
                <c:pt idx="5">
                  <c:v>885.82</c:v>
                </c:pt>
                <c:pt idx="6">
                  <c:v>1030.3699999999999</c:v>
                </c:pt>
                <c:pt idx="7">
                  <c:v>1341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(résultats!$D$14,résultats!$D$28,résultats!$D$42,résultats!$D$57,résultats!$D$70,résultats!$D$84,résultats!$D$98,résultats!$D$112,résultats!$D$126)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(résultats!$R$14,résultats!$R$28,résultats!$R$42,résultats!$R$56,résultats!$R$70,résultats!$R$84,résultats!$R$98,résultats!$R$112,résultats!$R$126)</c:f>
              <c:numCache>
                <c:formatCode>0.00</c:formatCode>
                <c:ptCount val="9"/>
                <c:pt idx="0">
                  <c:v>782.1</c:v>
                </c:pt>
                <c:pt idx="1">
                  <c:v>803.82</c:v>
                </c:pt>
                <c:pt idx="2">
                  <c:v>815.18</c:v>
                </c:pt>
                <c:pt idx="3">
                  <c:v>829.58</c:v>
                </c:pt>
                <c:pt idx="4">
                  <c:v>839.98</c:v>
                </c:pt>
                <c:pt idx="5">
                  <c:v>861.51</c:v>
                </c:pt>
                <c:pt idx="6">
                  <c:v>878.48</c:v>
                </c:pt>
                <c:pt idx="7">
                  <c:v>934.18</c:v>
                </c:pt>
                <c:pt idx="8">
                  <c:v>1095.96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(résultats!$R$29,résultats!$R$43,résultats!$R$57,résultats!$R$71,résultats!$R$85,résultats!$R$99,résultats!$R$113,résultats!$R$127,résultats!$R$141)</c:f>
              <c:numCache>
                <c:formatCode>0.00</c:formatCode>
                <c:ptCount val="9"/>
                <c:pt idx="0">
                  <c:v>839.32</c:v>
                </c:pt>
                <c:pt idx="1">
                  <c:v>846.47</c:v>
                </c:pt>
                <c:pt idx="2">
                  <c:v>854.23</c:v>
                </c:pt>
                <c:pt idx="3">
                  <c:v>867.43</c:v>
                </c:pt>
                <c:pt idx="4">
                  <c:v>859.92</c:v>
                </c:pt>
                <c:pt idx="5">
                  <c:v>870.81</c:v>
                </c:pt>
                <c:pt idx="6">
                  <c:v>915.67</c:v>
                </c:pt>
                <c:pt idx="7">
                  <c:v>850.38</c:v>
                </c:pt>
                <c:pt idx="8">
                  <c:v>1426.96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(résultats!$R$16,résultats!$R$30,résultats!$R$44,résultats!$R$58,résultats!$R$72,résultats!$R$86,résultats!$R$100,résultats!$R$114)</c:f>
              <c:numCache>
                <c:formatCode>0.00</c:formatCode>
                <c:ptCount val="8"/>
                <c:pt idx="0">
                  <c:v>820.37</c:v>
                </c:pt>
                <c:pt idx="1">
                  <c:v>827.26</c:v>
                </c:pt>
                <c:pt idx="2">
                  <c:v>839.34</c:v>
                </c:pt>
                <c:pt idx="3">
                  <c:v>848.47</c:v>
                </c:pt>
                <c:pt idx="4">
                  <c:v>864.79</c:v>
                </c:pt>
                <c:pt idx="5">
                  <c:v>929.22</c:v>
                </c:pt>
                <c:pt idx="6">
                  <c:v>1063.47</c:v>
                </c:pt>
                <c:pt idx="7">
                  <c:v>1422.78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(résultats!$R$17,résultats!$R$31,résultats!$R$45,résultats!$R$59,résultats!$R$73,résultats!$R$87)</c:f>
              <c:numCache>
                <c:formatCode>0.00</c:formatCode>
                <c:ptCount val="6"/>
                <c:pt idx="0">
                  <c:v>741.91</c:v>
                </c:pt>
                <c:pt idx="1">
                  <c:v>769.18</c:v>
                </c:pt>
                <c:pt idx="2">
                  <c:v>789.36</c:v>
                </c:pt>
                <c:pt idx="3">
                  <c:v>828.49</c:v>
                </c:pt>
                <c:pt idx="4">
                  <c:v>864.18</c:v>
                </c:pt>
                <c:pt idx="5">
                  <c:v>896.36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(résultats!$R$18,résultats!$R$32,résultats!$R$46,résultats!$R$60,résultats!$R$74,résultats!$R$88)</c:f>
              <c:numCache>
                <c:formatCode>0.00</c:formatCode>
                <c:ptCount val="6"/>
                <c:pt idx="0">
                  <c:v>836.2</c:v>
                </c:pt>
                <c:pt idx="1">
                  <c:v>856.14</c:v>
                </c:pt>
                <c:pt idx="2">
                  <c:v>852.74</c:v>
                </c:pt>
                <c:pt idx="3">
                  <c:v>896.44</c:v>
                </c:pt>
                <c:pt idx="4">
                  <c:v>927.06</c:v>
                </c:pt>
                <c:pt idx="5">
                  <c:v>1420.66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(résultats!$R$19,résultats!$R$33,résultats!$R$47,résultats!$R$61,résultats!$R$75,résultats!$R$89,résultats!$R$103,résultats!$R$117,résultats!$R$131)</c:f>
              <c:numCache>
                <c:formatCode>0.00</c:formatCode>
                <c:ptCount val="9"/>
                <c:pt idx="0">
                  <c:v>804.92</c:v>
                </c:pt>
                <c:pt idx="1">
                  <c:v>827.92</c:v>
                </c:pt>
                <c:pt idx="2">
                  <c:v>833.03</c:v>
                </c:pt>
                <c:pt idx="3">
                  <c:v>841.67</c:v>
                </c:pt>
                <c:pt idx="4">
                  <c:v>855.15</c:v>
                </c:pt>
                <c:pt idx="5">
                  <c:v>957.36</c:v>
                </c:pt>
                <c:pt idx="6">
                  <c:v>977.2</c:v>
                </c:pt>
                <c:pt idx="7">
                  <c:v>1012.04</c:v>
                </c:pt>
                <c:pt idx="8">
                  <c:v>1205.73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(résultats!$R$20,résultats!$R$34,résultats!$R$48,résultats!$R$62,résultats!$R$76,résultats!$R$90,résultats!$R$104,résultats!$R$118,résultats!$R$132,résultats!$R$146)</c:f>
              <c:numCache>
                <c:formatCode>0.00</c:formatCode>
                <c:ptCount val="10"/>
                <c:pt idx="0">
                  <c:v>830.23</c:v>
                </c:pt>
                <c:pt idx="1">
                  <c:v>852.72</c:v>
                </c:pt>
                <c:pt idx="2">
                  <c:v>853.4</c:v>
                </c:pt>
                <c:pt idx="3">
                  <c:v>858.15</c:v>
                </c:pt>
                <c:pt idx="4">
                  <c:v>866.01</c:v>
                </c:pt>
                <c:pt idx="5">
                  <c:v>950.16</c:v>
                </c:pt>
                <c:pt idx="6">
                  <c:v>920.4</c:v>
                </c:pt>
                <c:pt idx="7">
                  <c:v>968.64</c:v>
                </c:pt>
                <c:pt idx="8">
                  <c:v>1043.45</c:v>
                </c:pt>
                <c:pt idx="9">
                  <c:v>1164.17</c:v>
                </c:pt>
              </c:numCache>
            </c:numRef>
          </c:yVal>
        </c:ser>
        <c:axId val="116129152"/>
        <c:axId val="117269632"/>
      </c:scatterChart>
      <c:valAx>
        <c:axId val="116129152"/>
        <c:scaling>
          <c:orientation val="minMax"/>
        </c:scaling>
        <c:axPos val="b"/>
        <c:numFmt formatCode="General" sourceLinked="1"/>
        <c:tickLblPos val="nextTo"/>
        <c:crossAx val="117269632"/>
        <c:crosses val="autoZero"/>
        <c:crossBetween val="midCat"/>
      </c:valAx>
      <c:valAx>
        <c:axId val="117269632"/>
        <c:scaling>
          <c:orientation val="minMax"/>
          <c:min val="700"/>
        </c:scaling>
        <c:axPos val="l"/>
        <c:majorGridlines/>
        <c:numFmt formatCode="0.00" sourceLinked="1"/>
        <c:tickLblPos val="nextTo"/>
        <c:crossAx val="116129152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7575328236920746"/>
          <c:y val="7.9564607544452509E-4"/>
          <c:w val="0.10730697402175372"/>
          <c:h val="0.97692885840545018"/>
        </c:manualLayout>
      </c:layout>
    </c:legend>
    <c:plotVisOnly val="1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7.6559629006164018E-2"/>
          <c:y val="1.2464369678016845E-2"/>
          <c:w val="0.7925973022011156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(résultats!$Q$7,résultats!$Q$21,résultats!$Q$35,résultats!$Q$49,résultats!$Q$63,résultats!$Q$77,résultats!$Q$91,résultats!$Q$105,résultats!$Q$119,résultats!$Q$133)</c:f>
              <c:numCache>
                <c:formatCode>0.00</c:formatCode>
                <c:ptCount val="10"/>
                <c:pt idx="0">
                  <c:v>466.83</c:v>
                </c:pt>
                <c:pt idx="1">
                  <c:v>508.14</c:v>
                </c:pt>
                <c:pt idx="2">
                  <c:v>481.43</c:v>
                </c:pt>
                <c:pt idx="3">
                  <c:v>511.9</c:v>
                </c:pt>
                <c:pt idx="4">
                  <c:v>523.42999999999995</c:v>
                </c:pt>
                <c:pt idx="5">
                  <c:v>536.64</c:v>
                </c:pt>
                <c:pt idx="6">
                  <c:v>551.72</c:v>
                </c:pt>
                <c:pt idx="7">
                  <c:v>566.15</c:v>
                </c:pt>
                <c:pt idx="8">
                  <c:v>662.02</c:v>
                </c:pt>
                <c:pt idx="9">
                  <c:v>748.98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(résultats!$Q$8,résultats!$Q$22,résultats!$Q$36,résultats!$Q$50,résultats!$Q$64,résultats!$Q$78,résultats!$Q$92,résultats!$Q$106,résultats!$Q$134)</c:f>
              <c:numCache>
                <c:formatCode>0.00</c:formatCode>
                <c:ptCount val="9"/>
                <c:pt idx="0">
                  <c:v>493.41</c:v>
                </c:pt>
                <c:pt idx="1">
                  <c:v>512.08000000000004</c:v>
                </c:pt>
                <c:pt idx="2">
                  <c:v>516.97</c:v>
                </c:pt>
                <c:pt idx="3">
                  <c:v>526.09</c:v>
                </c:pt>
                <c:pt idx="4">
                  <c:v>541.41999999999996</c:v>
                </c:pt>
                <c:pt idx="5">
                  <c:v>553.29999999999995</c:v>
                </c:pt>
                <c:pt idx="6">
                  <c:v>565.35</c:v>
                </c:pt>
                <c:pt idx="7">
                  <c:v>578.95000000000005</c:v>
                </c:pt>
                <c:pt idx="8">
                  <c:v>645.19000000000005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(résultats!$Q$9,résultats!$Q$23,résultats!$Q$37,résultats!$Q$51,résultats!$Q$65,résultats!$Q$79,résultats!$Q$93,résultats!$Q$107,résultats!$Q$121,résultats!$Q$135,résultats!$Q$149)</c:f>
              <c:numCache>
                <c:formatCode>0.00</c:formatCode>
                <c:ptCount val="11"/>
                <c:pt idx="0">
                  <c:v>470.5</c:v>
                </c:pt>
                <c:pt idx="1">
                  <c:v>476.75</c:v>
                </c:pt>
                <c:pt idx="2">
                  <c:v>474.3</c:v>
                </c:pt>
                <c:pt idx="3">
                  <c:v>481.91</c:v>
                </c:pt>
                <c:pt idx="4">
                  <c:v>488.35</c:v>
                </c:pt>
                <c:pt idx="5">
                  <c:v>494.03</c:v>
                </c:pt>
                <c:pt idx="6">
                  <c:v>504.65</c:v>
                </c:pt>
                <c:pt idx="7">
                  <c:v>519.15</c:v>
                </c:pt>
                <c:pt idx="8">
                  <c:v>515.89</c:v>
                </c:pt>
                <c:pt idx="9">
                  <c:v>562.19000000000005</c:v>
                </c:pt>
                <c:pt idx="10">
                  <c:v>671.9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(résultats!$Q$24,résultats!$Q$38,résultats!$Q$52,résultats!$Q$66,résultats!$Q$80,résultats!$Q$94,résultats!$Q$108,résultats!$Q$122,résultats!$Q$136,résultats!$Q$150)</c:f>
              <c:numCache>
                <c:formatCode>0.00</c:formatCode>
                <c:ptCount val="10"/>
                <c:pt idx="0">
                  <c:v>477.89</c:v>
                </c:pt>
                <c:pt idx="1">
                  <c:v>479.63</c:v>
                </c:pt>
                <c:pt idx="2">
                  <c:v>489.53</c:v>
                </c:pt>
                <c:pt idx="3">
                  <c:v>499.55</c:v>
                </c:pt>
                <c:pt idx="4">
                  <c:v>504.31</c:v>
                </c:pt>
                <c:pt idx="5">
                  <c:v>504.02</c:v>
                </c:pt>
                <c:pt idx="6">
                  <c:v>603.64</c:v>
                </c:pt>
                <c:pt idx="7">
                  <c:v>557.75</c:v>
                </c:pt>
                <c:pt idx="8">
                  <c:v>622.14</c:v>
                </c:pt>
                <c:pt idx="9">
                  <c:v>728.37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(résultats!$Q$11,résultats!$Q$25,résultats!$Q$39,résultats!$Q$53,résultats!$Q$67,résultats!$Q$81,résultats!$Q$95)</c:f>
              <c:numCache>
                <c:formatCode>0.00</c:formatCode>
                <c:ptCount val="7"/>
                <c:pt idx="0">
                  <c:v>487.53</c:v>
                </c:pt>
                <c:pt idx="1">
                  <c:v>506.19</c:v>
                </c:pt>
                <c:pt idx="2">
                  <c:v>501.59</c:v>
                </c:pt>
                <c:pt idx="3">
                  <c:v>534.04</c:v>
                </c:pt>
                <c:pt idx="4">
                  <c:v>546.89</c:v>
                </c:pt>
                <c:pt idx="5">
                  <c:v>564.9</c:v>
                </c:pt>
                <c:pt idx="6">
                  <c:v>631.9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(résultats!$Q$12,résultats!$Q$26,résultats!$Q$40,résultats!$Q$54,résultats!$Q$68,résultats!$Q$82,résultats!$Q$96,résultats!$Q$110,résultats!$Q$124)</c:f>
              <c:numCache>
                <c:formatCode>0.00</c:formatCode>
                <c:ptCount val="9"/>
                <c:pt idx="0">
                  <c:v>499.83</c:v>
                </c:pt>
                <c:pt idx="1">
                  <c:v>524.54999999999995</c:v>
                </c:pt>
                <c:pt idx="2">
                  <c:v>529.41999999999996</c:v>
                </c:pt>
                <c:pt idx="3">
                  <c:v>539.41</c:v>
                </c:pt>
                <c:pt idx="4">
                  <c:v>545.13</c:v>
                </c:pt>
                <c:pt idx="5">
                  <c:v>613.20000000000005</c:v>
                </c:pt>
                <c:pt idx="6">
                  <c:v>589.1</c:v>
                </c:pt>
                <c:pt idx="7">
                  <c:v>640.49</c:v>
                </c:pt>
                <c:pt idx="8">
                  <c:v>810.66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(résultats!$Q$13,résultats!$Q$27,résultats!$Q$41,résultats!$Q$55,résultats!$Q$69,résultats!$Q$83,résultats!$Q$97,résultats!$Q$111)</c:f>
              <c:numCache>
                <c:formatCode>0.00</c:formatCode>
                <c:ptCount val="8"/>
                <c:pt idx="0">
                  <c:v>499.83</c:v>
                </c:pt>
                <c:pt idx="1">
                  <c:v>510.68</c:v>
                </c:pt>
                <c:pt idx="2">
                  <c:v>532.63</c:v>
                </c:pt>
                <c:pt idx="3">
                  <c:v>531.88</c:v>
                </c:pt>
                <c:pt idx="4">
                  <c:v>542.92999999999995</c:v>
                </c:pt>
                <c:pt idx="5">
                  <c:v>571.63</c:v>
                </c:pt>
                <c:pt idx="6">
                  <c:v>661.98</c:v>
                </c:pt>
                <c:pt idx="7">
                  <c:v>891.88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(résultats!$D$14,résultats!$D$28,résultats!$D$42,résultats!$D$57,résultats!$D$70,résultats!$D$84,résultats!$D$98,résultats!$D$112,résultats!$D$126)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(résultats!$Q$14,résultats!$Q$28,résultats!$Q$42,résultats!$Q$56,résultats!$Q$70,résultats!$Q$84,résultats!$Q$98,résultats!$Q$112,résultats!$Q$126)</c:f>
              <c:numCache>
                <c:formatCode>0.00</c:formatCode>
                <c:ptCount val="9"/>
                <c:pt idx="0">
                  <c:v>482.14</c:v>
                </c:pt>
                <c:pt idx="1">
                  <c:v>506.14</c:v>
                </c:pt>
                <c:pt idx="2">
                  <c:v>501.26</c:v>
                </c:pt>
                <c:pt idx="3">
                  <c:v>522.92999999999995</c:v>
                </c:pt>
                <c:pt idx="4">
                  <c:v>537.27</c:v>
                </c:pt>
                <c:pt idx="5">
                  <c:v>549.46</c:v>
                </c:pt>
                <c:pt idx="6">
                  <c:v>566.9</c:v>
                </c:pt>
                <c:pt idx="7">
                  <c:v>599.54</c:v>
                </c:pt>
                <c:pt idx="8">
                  <c:v>703.79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(résultats!$Q$29,résultats!$Q$43,résultats!$Q$57,résultats!$Q$71,résultats!$Q$85,résultats!$Q$99,résultats!$Q$113,résultats!$Q$127,résultats!$Q$141)</c:f>
              <c:numCache>
                <c:formatCode>0.00</c:formatCode>
                <c:ptCount val="9"/>
                <c:pt idx="0">
                  <c:v>520.22</c:v>
                </c:pt>
                <c:pt idx="1">
                  <c:v>523.86</c:v>
                </c:pt>
                <c:pt idx="2">
                  <c:v>535.26</c:v>
                </c:pt>
                <c:pt idx="3">
                  <c:v>542.37</c:v>
                </c:pt>
                <c:pt idx="4">
                  <c:v>545.59</c:v>
                </c:pt>
                <c:pt idx="5">
                  <c:v>554.19000000000005</c:v>
                </c:pt>
                <c:pt idx="6">
                  <c:v>566.26</c:v>
                </c:pt>
                <c:pt idx="7">
                  <c:v>575.62</c:v>
                </c:pt>
                <c:pt idx="8">
                  <c:v>934.97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(résultats!$Q$16,résultats!$Q$30,résultats!$Q$44,résultats!$Q$58,résultats!$Q$72,résultats!$Q$86,résultats!$Q$100,résultats!$Q$114)</c:f>
              <c:numCache>
                <c:formatCode>0.00</c:formatCode>
                <c:ptCount val="8"/>
                <c:pt idx="0">
                  <c:v>502.66</c:v>
                </c:pt>
                <c:pt idx="1">
                  <c:v>524.41999999999996</c:v>
                </c:pt>
                <c:pt idx="2">
                  <c:v>533.73</c:v>
                </c:pt>
                <c:pt idx="3">
                  <c:v>541.66</c:v>
                </c:pt>
                <c:pt idx="4">
                  <c:v>557.41999999999996</c:v>
                </c:pt>
                <c:pt idx="5">
                  <c:v>577.9</c:v>
                </c:pt>
                <c:pt idx="6">
                  <c:v>691.66</c:v>
                </c:pt>
                <c:pt idx="7">
                  <c:v>768.26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(résultats!$Q$17,résultats!$Q$31,résultats!$Q$45,résultats!$Q$59,résultats!$Q$73,résultats!$Q$87)</c:f>
              <c:numCache>
                <c:formatCode>0.00</c:formatCode>
                <c:ptCount val="6"/>
                <c:pt idx="0">
                  <c:v>458.11</c:v>
                </c:pt>
                <c:pt idx="1">
                  <c:v>483.13</c:v>
                </c:pt>
                <c:pt idx="2">
                  <c:v>499.1</c:v>
                </c:pt>
                <c:pt idx="3">
                  <c:v>529.86</c:v>
                </c:pt>
                <c:pt idx="4">
                  <c:v>566.84</c:v>
                </c:pt>
                <c:pt idx="5">
                  <c:v>602.03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(résultats!$Q$18,résultats!$Q$32,résultats!$Q$46,résultats!$Q$60,résultats!$Q$74,résultats!$Q$88)</c:f>
              <c:numCache>
                <c:formatCode>0.00</c:formatCode>
                <c:ptCount val="6"/>
                <c:pt idx="0">
                  <c:v>509.04</c:v>
                </c:pt>
                <c:pt idx="1">
                  <c:v>536.87</c:v>
                </c:pt>
                <c:pt idx="2">
                  <c:v>544.91999999999996</c:v>
                </c:pt>
                <c:pt idx="3">
                  <c:v>577.23</c:v>
                </c:pt>
                <c:pt idx="4">
                  <c:v>603.64</c:v>
                </c:pt>
                <c:pt idx="5">
                  <c:v>948.61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(résultats!$Q$19,résultats!$Q$33,résultats!$Q$47,résultats!$Q$61,résultats!$Q$75,résultats!$Q$89,résultats!$Q$103,résultats!$Q$117,résultats!$Q$131)</c:f>
              <c:numCache>
                <c:formatCode>0.00</c:formatCode>
                <c:ptCount val="9"/>
                <c:pt idx="0">
                  <c:v>491.76</c:v>
                </c:pt>
                <c:pt idx="1">
                  <c:v>516.92999999999995</c:v>
                </c:pt>
                <c:pt idx="2">
                  <c:v>519.30999999999995</c:v>
                </c:pt>
                <c:pt idx="3">
                  <c:v>530.28</c:v>
                </c:pt>
                <c:pt idx="4">
                  <c:v>538.29</c:v>
                </c:pt>
                <c:pt idx="5">
                  <c:v>597.34</c:v>
                </c:pt>
                <c:pt idx="6">
                  <c:v>589.55999999999995</c:v>
                </c:pt>
                <c:pt idx="7">
                  <c:v>613.69000000000005</c:v>
                </c:pt>
                <c:pt idx="8">
                  <c:v>791.13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(résultats!$Q$20,résultats!$Q$34,résultats!$Q$48,résultats!$Q$62,résultats!$Q$76,résultats!$Q$90,résultats!$Q$104,résultats!$Q$118,résultats!$Q$132,résultats!$Q$146)</c:f>
              <c:numCache>
                <c:formatCode>0.00</c:formatCode>
                <c:ptCount val="10"/>
                <c:pt idx="0">
                  <c:v>507.29</c:v>
                </c:pt>
                <c:pt idx="1">
                  <c:v>527.54999999999995</c:v>
                </c:pt>
                <c:pt idx="2">
                  <c:v>531.66</c:v>
                </c:pt>
                <c:pt idx="3">
                  <c:v>535.14</c:v>
                </c:pt>
                <c:pt idx="4">
                  <c:v>542.94000000000005</c:v>
                </c:pt>
                <c:pt idx="5">
                  <c:v>587.53</c:v>
                </c:pt>
                <c:pt idx="6">
                  <c:v>555.4</c:v>
                </c:pt>
                <c:pt idx="7">
                  <c:v>583.97</c:v>
                </c:pt>
                <c:pt idx="8">
                  <c:v>678.97</c:v>
                </c:pt>
                <c:pt idx="9">
                  <c:v>401.61</c:v>
                </c:pt>
              </c:numCache>
            </c:numRef>
          </c:yVal>
        </c:ser>
        <c:axId val="117419392"/>
        <c:axId val="117433472"/>
      </c:scatterChart>
      <c:valAx>
        <c:axId val="117419392"/>
        <c:scaling>
          <c:orientation val="minMax"/>
        </c:scaling>
        <c:axPos val="b"/>
        <c:numFmt formatCode="General" sourceLinked="1"/>
        <c:tickLblPos val="nextTo"/>
        <c:crossAx val="117433472"/>
        <c:crosses val="autoZero"/>
        <c:crossBetween val="midCat"/>
      </c:valAx>
      <c:valAx>
        <c:axId val="117433472"/>
        <c:scaling>
          <c:orientation val="minMax"/>
          <c:min val="400"/>
        </c:scaling>
        <c:axPos val="l"/>
        <c:majorGridlines/>
        <c:numFmt formatCode="0.00" sourceLinked="1"/>
        <c:tickLblPos val="nextTo"/>
        <c:crossAx val="117419392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757532823692078"/>
          <c:y val="7.9564607544452542E-4"/>
          <c:w val="0.10730697402175372"/>
          <c:h val="0.97692885840545063"/>
        </c:manualLayout>
      </c:layout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7.6559663985050472E-2"/>
          <c:y val="1.6745867172616481E-2"/>
          <c:w val="0.7925973022011156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(résultats!$N$7,résultats!$N$21,résultats!$N$35,résultats!$N$49,résultats!$N$63,résultats!$N$77,résultats!$N$91,résultats!$N$105,résultats!$N$119,résultats!$N$133)</c:f>
              <c:numCache>
                <c:formatCode>0.00</c:formatCode>
                <c:ptCount val="10"/>
                <c:pt idx="0">
                  <c:v>605.12</c:v>
                </c:pt>
                <c:pt idx="1">
                  <c:v>652.97</c:v>
                </c:pt>
                <c:pt idx="2">
                  <c:v>610.54</c:v>
                </c:pt>
                <c:pt idx="3">
                  <c:v>646.69000000000005</c:v>
                </c:pt>
                <c:pt idx="4">
                  <c:v>666.96</c:v>
                </c:pt>
                <c:pt idx="5">
                  <c:v>680.36</c:v>
                </c:pt>
                <c:pt idx="6">
                  <c:v>700.99</c:v>
                </c:pt>
                <c:pt idx="7">
                  <c:v>714.08</c:v>
                </c:pt>
                <c:pt idx="8">
                  <c:v>874.02</c:v>
                </c:pt>
                <c:pt idx="9">
                  <c:v>1032.2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(résultats!$N$8,résultats!$N$22,résultats!$N$36,résultats!$N$50,résultats!$N$64,résultats!$N$78,résultats!$N$92,résultats!$N$106,résultats!$N$134)</c:f>
              <c:numCache>
                <c:formatCode>0.00</c:formatCode>
                <c:ptCount val="9"/>
                <c:pt idx="0">
                  <c:v>636.52</c:v>
                </c:pt>
                <c:pt idx="1">
                  <c:v>663</c:v>
                </c:pt>
                <c:pt idx="2">
                  <c:v>667.24</c:v>
                </c:pt>
                <c:pt idx="3">
                  <c:v>675.88</c:v>
                </c:pt>
                <c:pt idx="4">
                  <c:v>702.18</c:v>
                </c:pt>
                <c:pt idx="5">
                  <c:v>706.87</c:v>
                </c:pt>
                <c:pt idx="6">
                  <c:v>730.89</c:v>
                </c:pt>
                <c:pt idx="7">
                  <c:v>765.55</c:v>
                </c:pt>
                <c:pt idx="8">
                  <c:v>842.04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(résultats!$N$9,résultats!$N$23,résultats!$N$37,résultats!$N$51,résultats!$N$65,résultats!$N$79,résultats!$N$93,résultats!$N$107,résultats!$N$121,résultats!$N$135,résultats!$N$149)</c:f>
              <c:numCache>
                <c:formatCode>0.00</c:formatCode>
                <c:ptCount val="11"/>
                <c:pt idx="0">
                  <c:v>604.04999999999995</c:v>
                </c:pt>
                <c:pt idx="1">
                  <c:v>597.66999999999996</c:v>
                </c:pt>
                <c:pt idx="2">
                  <c:v>590.96</c:v>
                </c:pt>
                <c:pt idx="3">
                  <c:v>503.57</c:v>
                </c:pt>
                <c:pt idx="4">
                  <c:v>613.09</c:v>
                </c:pt>
                <c:pt idx="5">
                  <c:v>620.59</c:v>
                </c:pt>
                <c:pt idx="6">
                  <c:v>632.03</c:v>
                </c:pt>
                <c:pt idx="7">
                  <c:v>657.63</c:v>
                </c:pt>
                <c:pt idx="8">
                  <c:v>685.95</c:v>
                </c:pt>
                <c:pt idx="9">
                  <c:v>725.24</c:v>
                </c:pt>
                <c:pt idx="10">
                  <c:v>902.13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(résultats!$N$24,résultats!$N$38,résultats!$N$52,résultats!$N$66,résultats!$N$80,résultats!$N$94,résultats!$N$108,résultats!$N$122,résultats!$N$136,résultats!$N$150)</c:f>
              <c:numCache>
                <c:formatCode>0.00</c:formatCode>
                <c:ptCount val="10"/>
                <c:pt idx="0">
                  <c:v>630.13</c:v>
                </c:pt>
                <c:pt idx="1">
                  <c:v>632.78</c:v>
                </c:pt>
                <c:pt idx="2">
                  <c:v>612.91</c:v>
                </c:pt>
                <c:pt idx="3">
                  <c:v>635.97</c:v>
                </c:pt>
                <c:pt idx="4">
                  <c:v>639.57000000000005</c:v>
                </c:pt>
                <c:pt idx="5">
                  <c:v>647.14</c:v>
                </c:pt>
                <c:pt idx="6">
                  <c:v>810.52</c:v>
                </c:pt>
                <c:pt idx="7">
                  <c:v>749</c:v>
                </c:pt>
                <c:pt idx="8">
                  <c:v>812.48</c:v>
                </c:pt>
                <c:pt idx="9">
                  <c:v>1033.8699999999999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(résultats!$N$11,résultats!$N$25,résultats!$N$39,résultats!$N$53,résultats!$N$67,résultats!$N$81,résultats!$N$95)</c:f>
              <c:numCache>
                <c:formatCode>0.00</c:formatCode>
                <c:ptCount val="7"/>
                <c:pt idx="0">
                  <c:v>626.11</c:v>
                </c:pt>
                <c:pt idx="1">
                  <c:v>648.57000000000005</c:v>
                </c:pt>
                <c:pt idx="2">
                  <c:v>650.51</c:v>
                </c:pt>
                <c:pt idx="3">
                  <c:v>678.76</c:v>
                </c:pt>
                <c:pt idx="4">
                  <c:v>726.32</c:v>
                </c:pt>
                <c:pt idx="5">
                  <c:v>790.64</c:v>
                </c:pt>
                <c:pt idx="6">
                  <c:v>830.63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(résultats!$N$12,résultats!$N$26,résultats!$N$40,résultats!$N$54,résultats!$N$68,résultats!$N$82,résultats!$N$96,résultats!$N$110,résultats!$N$124)</c:f>
              <c:numCache>
                <c:formatCode>0.00</c:formatCode>
                <c:ptCount val="9"/>
                <c:pt idx="0">
                  <c:v>641.45000000000005</c:v>
                </c:pt>
                <c:pt idx="1">
                  <c:v>669.5</c:v>
                </c:pt>
                <c:pt idx="2">
                  <c:v>677.93</c:v>
                </c:pt>
                <c:pt idx="3">
                  <c:v>690.79</c:v>
                </c:pt>
                <c:pt idx="4">
                  <c:v>698.13</c:v>
                </c:pt>
                <c:pt idx="5">
                  <c:v>802.22</c:v>
                </c:pt>
                <c:pt idx="6">
                  <c:v>778.08</c:v>
                </c:pt>
                <c:pt idx="7">
                  <c:v>822.34</c:v>
                </c:pt>
                <c:pt idx="8">
                  <c:v>1111.2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(résultats!$N$13,résultats!$N$27,résultats!$N$41,résultats!$N$55,résultats!$N$69,résultats!$N$83,résultats!$N$97,résultats!$N$111)</c:f>
              <c:numCache>
                <c:formatCode>0.00</c:formatCode>
                <c:ptCount val="8"/>
                <c:pt idx="0">
                  <c:v>646.71</c:v>
                </c:pt>
                <c:pt idx="1">
                  <c:v>662.45</c:v>
                </c:pt>
                <c:pt idx="2">
                  <c:v>678.95</c:v>
                </c:pt>
                <c:pt idx="3">
                  <c:v>681.61</c:v>
                </c:pt>
                <c:pt idx="4">
                  <c:v>694.07</c:v>
                </c:pt>
                <c:pt idx="5">
                  <c:v>731.41</c:v>
                </c:pt>
                <c:pt idx="6">
                  <c:v>887.32</c:v>
                </c:pt>
                <c:pt idx="7">
                  <c:v>1234.45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(résultats!$D$14,résultats!$D$28,résultats!$D$42,résultats!$D$57,résultats!$D$70,résultats!$D$84,résultats!$D$98,résultats!$D$112,résultats!$D$126)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(résultats!$N$14,résultats!$N$28,résultats!$N$42,résultats!$N$56,résultats!$N$70,résultats!$N$84,résultats!$N$98,résultats!$N$112,résultats!$N$126)</c:f>
              <c:numCache>
                <c:formatCode>0.00</c:formatCode>
                <c:ptCount val="9"/>
                <c:pt idx="0">
                  <c:v>610.36</c:v>
                </c:pt>
                <c:pt idx="1">
                  <c:v>641.4</c:v>
                </c:pt>
                <c:pt idx="2">
                  <c:v>649.26</c:v>
                </c:pt>
                <c:pt idx="3">
                  <c:v>655.23</c:v>
                </c:pt>
                <c:pt idx="4">
                  <c:v>676.23</c:v>
                </c:pt>
                <c:pt idx="5">
                  <c:v>700.32</c:v>
                </c:pt>
                <c:pt idx="6">
                  <c:v>720.86</c:v>
                </c:pt>
                <c:pt idx="7">
                  <c:v>790.47</c:v>
                </c:pt>
                <c:pt idx="8">
                  <c:v>972.47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(résultats!$N$29,résultats!$N$43,résultats!$N$57,résultats!$N$71,résultats!$N$85,résultats!$N$99,résultats!$N$113,résultats!$N$127,résultats!$N$141)</c:f>
              <c:numCache>
                <c:formatCode>0.00</c:formatCode>
                <c:ptCount val="9"/>
                <c:pt idx="0">
                  <c:v>662.41</c:v>
                </c:pt>
                <c:pt idx="1">
                  <c:v>674.19</c:v>
                </c:pt>
                <c:pt idx="2">
                  <c:v>681.45</c:v>
                </c:pt>
                <c:pt idx="3">
                  <c:v>690.62</c:v>
                </c:pt>
                <c:pt idx="4">
                  <c:v>689.21</c:v>
                </c:pt>
                <c:pt idx="5">
                  <c:v>705.46</c:v>
                </c:pt>
                <c:pt idx="6">
                  <c:v>753.68</c:v>
                </c:pt>
                <c:pt idx="7">
                  <c:v>743.65</c:v>
                </c:pt>
                <c:pt idx="8">
                  <c:v>1312.78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(résultats!$N$16,résultats!$N$30,résultats!$N$44,résultats!$N$58,résultats!$N$72,résultats!$N$86,résultats!$N$100,résultats!$N$114)</c:f>
              <c:numCache>
                <c:formatCode>0.00</c:formatCode>
                <c:ptCount val="8"/>
                <c:pt idx="0">
                  <c:v>652.84</c:v>
                </c:pt>
                <c:pt idx="1">
                  <c:v>667.95</c:v>
                </c:pt>
                <c:pt idx="2">
                  <c:v>681.89</c:v>
                </c:pt>
                <c:pt idx="3">
                  <c:v>689.89</c:v>
                </c:pt>
                <c:pt idx="4">
                  <c:v>707.84</c:v>
                </c:pt>
                <c:pt idx="5">
                  <c:v>772.68</c:v>
                </c:pt>
                <c:pt idx="6">
                  <c:v>933.26</c:v>
                </c:pt>
                <c:pt idx="7">
                  <c:v>1322.54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(résultats!$N$17,résultats!$N$31,résultats!$N$45,résultats!$N$59,résultats!$N$73,résultats!$N$87)</c:f>
              <c:numCache>
                <c:formatCode>0.00</c:formatCode>
                <c:ptCount val="6"/>
                <c:pt idx="0">
                  <c:v>579.29999999999995</c:v>
                </c:pt>
                <c:pt idx="1">
                  <c:v>607.11</c:v>
                </c:pt>
                <c:pt idx="2">
                  <c:v>631.34</c:v>
                </c:pt>
                <c:pt idx="3">
                  <c:v>673.01</c:v>
                </c:pt>
                <c:pt idx="4">
                  <c:v>715.91</c:v>
                </c:pt>
                <c:pt idx="5">
                  <c:v>752.21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(résultats!$N$18,résultats!$N$32,résultats!$N$46,résultats!$N$60,résultats!$N$74,résultats!$N$88)</c:f>
              <c:numCache>
                <c:formatCode>0.00</c:formatCode>
                <c:ptCount val="6"/>
                <c:pt idx="0">
                  <c:v>652.79</c:v>
                </c:pt>
                <c:pt idx="1">
                  <c:v>686.56</c:v>
                </c:pt>
                <c:pt idx="2">
                  <c:v>686.05</c:v>
                </c:pt>
                <c:pt idx="3">
                  <c:v>734.43</c:v>
                </c:pt>
                <c:pt idx="4">
                  <c:v>766.7</c:v>
                </c:pt>
                <c:pt idx="5">
                  <c:v>1316.65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(résultats!$N$19,résultats!$N$33,résultats!$N$47,résultats!$N$61,résultats!$N$75,résultats!$N$89,résultats!$N$103,résultats!$N$117,résultats!$N$131)</c:f>
              <c:numCache>
                <c:formatCode>0.00</c:formatCode>
                <c:ptCount val="9"/>
                <c:pt idx="0">
                  <c:v>626.86</c:v>
                </c:pt>
                <c:pt idx="1">
                  <c:v>657.4</c:v>
                </c:pt>
                <c:pt idx="2">
                  <c:v>660.38</c:v>
                </c:pt>
                <c:pt idx="3">
                  <c:v>674.5</c:v>
                </c:pt>
                <c:pt idx="4">
                  <c:v>690.15</c:v>
                </c:pt>
                <c:pt idx="5">
                  <c:v>779.96</c:v>
                </c:pt>
                <c:pt idx="6">
                  <c:v>818.07</c:v>
                </c:pt>
                <c:pt idx="7">
                  <c:v>866.08</c:v>
                </c:pt>
                <c:pt idx="8">
                  <c:v>1069.51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(résultats!$N$20,résultats!$N$34,résultats!$N$48,résultats!$N$62,résultats!$N$76,résultats!$N$90,résultats!$N$104,résultats!$N$118,résultats!$N$132,résultats!$N$146)</c:f>
              <c:numCache>
                <c:formatCode>0.00</c:formatCode>
                <c:ptCount val="10"/>
                <c:pt idx="0">
                  <c:v>648.32000000000005</c:v>
                </c:pt>
                <c:pt idx="1">
                  <c:v>675.21</c:v>
                </c:pt>
                <c:pt idx="2">
                  <c:v>676.53</c:v>
                </c:pt>
                <c:pt idx="3">
                  <c:v>681.03</c:v>
                </c:pt>
                <c:pt idx="4">
                  <c:v>691.15</c:v>
                </c:pt>
                <c:pt idx="5">
                  <c:v>766.55</c:v>
                </c:pt>
                <c:pt idx="6">
                  <c:v>758.46</c:v>
                </c:pt>
                <c:pt idx="7">
                  <c:v>829.47</c:v>
                </c:pt>
                <c:pt idx="8">
                  <c:v>906.39</c:v>
                </c:pt>
                <c:pt idx="9">
                  <c:v>1158.8399999999999</c:v>
                </c:pt>
              </c:numCache>
            </c:numRef>
          </c:yVal>
        </c:ser>
        <c:axId val="117664384"/>
        <c:axId val="117674368"/>
      </c:scatterChart>
      <c:valAx>
        <c:axId val="117664384"/>
        <c:scaling>
          <c:orientation val="minMax"/>
        </c:scaling>
        <c:axPos val="b"/>
        <c:numFmt formatCode="General" sourceLinked="1"/>
        <c:tickLblPos val="nextTo"/>
        <c:crossAx val="117674368"/>
        <c:crosses val="autoZero"/>
        <c:crossBetween val="midCat"/>
      </c:valAx>
      <c:valAx>
        <c:axId val="117674368"/>
        <c:scaling>
          <c:orientation val="minMax"/>
          <c:min val="400"/>
        </c:scaling>
        <c:axPos val="l"/>
        <c:majorGridlines/>
        <c:numFmt formatCode="0.00" sourceLinked="1"/>
        <c:tickLblPos val="nextTo"/>
        <c:crossAx val="117664384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757532823692078"/>
          <c:y val="7.9564607544452542E-4"/>
          <c:w val="0.10730697402175372"/>
          <c:h val="0.97692885840545063"/>
        </c:manualLayout>
      </c:layout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7.6559663985050472E-2"/>
          <c:y val="1.6745867172616481E-2"/>
          <c:w val="0.7925973022011156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(résultats!$F$7,résultats!$F$21,résultats!$F$35,résultats!$F$49,résultats!$F$63,résultats!$F$77,résultats!$F$91,résultats!$F$105,résultats!$F$119,résultats!$F$133)</c:f>
              <c:numCache>
                <c:formatCode>0.00</c:formatCode>
                <c:ptCount val="10"/>
                <c:pt idx="0">
                  <c:v>502.26</c:v>
                </c:pt>
                <c:pt idx="1">
                  <c:v>496.95</c:v>
                </c:pt>
                <c:pt idx="2">
                  <c:v>484.75</c:v>
                </c:pt>
                <c:pt idx="3">
                  <c:v>495.92</c:v>
                </c:pt>
                <c:pt idx="4">
                  <c:v>497.24</c:v>
                </c:pt>
                <c:pt idx="5">
                  <c:v>498.07</c:v>
                </c:pt>
                <c:pt idx="6">
                  <c:v>502.99</c:v>
                </c:pt>
                <c:pt idx="7">
                  <c:v>503.39</c:v>
                </c:pt>
                <c:pt idx="8">
                  <c:v>523.29999999999995</c:v>
                </c:pt>
                <c:pt idx="9">
                  <c:v>536.70000000000005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(résultats!$F$8,résultats!$F$22,résultats!$F$36,résultats!$F$50,résultats!$F$64,résultats!$F$78,résultats!$F$92,résultats!$F$106,résultats!$F$134)</c:f>
              <c:numCache>
                <c:formatCode>0.00</c:formatCode>
                <c:ptCount val="9"/>
                <c:pt idx="0">
                  <c:v>490.45</c:v>
                </c:pt>
                <c:pt idx="1">
                  <c:v>505.57</c:v>
                </c:pt>
                <c:pt idx="2">
                  <c:v>492.82</c:v>
                </c:pt>
                <c:pt idx="3">
                  <c:v>494.54</c:v>
                </c:pt>
                <c:pt idx="4">
                  <c:v>499.79</c:v>
                </c:pt>
                <c:pt idx="5">
                  <c:v>504.14</c:v>
                </c:pt>
                <c:pt idx="6">
                  <c:v>503.49</c:v>
                </c:pt>
                <c:pt idx="7">
                  <c:v>507.21</c:v>
                </c:pt>
                <c:pt idx="8">
                  <c:v>511.42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(résultats!$F$9,résultats!$F$23,résultats!$F$37,résultats!$F$51,résultats!$F$65,résultats!$F$79,résultats!$F$93,résultats!$F$107,résultats!$F$121,résultats!$F$135,résultats!$F$149)</c:f>
              <c:numCache>
                <c:formatCode>0.00</c:formatCode>
                <c:ptCount val="11"/>
                <c:pt idx="0">
                  <c:v>515.92999999999995</c:v>
                </c:pt>
                <c:pt idx="1">
                  <c:v>493.22</c:v>
                </c:pt>
                <c:pt idx="2">
                  <c:v>491.96</c:v>
                </c:pt>
                <c:pt idx="3">
                  <c:v>493.21</c:v>
                </c:pt>
                <c:pt idx="4">
                  <c:v>497.47</c:v>
                </c:pt>
                <c:pt idx="5">
                  <c:v>495.42</c:v>
                </c:pt>
                <c:pt idx="6">
                  <c:v>496.79</c:v>
                </c:pt>
                <c:pt idx="7">
                  <c:v>496.85</c:v>
                </c:pt>
                <c:pt idx="8">
                  <c:v>498.95</c:v>
                </c:pt>
                <c:pt idx="9">
                  <c:v>511.7</c:v>
                </c:pt>
                <c:pt idx="10">
                  <c:v>521.46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(résultats!$F$24,résultats!$F$38,résultats!$F$52,résultats!$F$66,résultats!$F$80,résultats!$F$94,résultats!$F$108,résultats!$F$122,résultats!$F$136,résultats!$F$150)</c:f>
              <c:numCache>
                <c:formatCode>0.00</c:formatCode>
                <c:ptCount val="10"/>
                <c:pt idx="0">
                  <c:v>502.79</c:v>
                </c:pt>
                <c:pt idx="1">
                  <c:v>500.46</c:v>
                </c:pt>
                <c:pt idx="2">
                  <c:v>493.32</c:v>
                </c:pt>
                <c:pt idx="3">
                  <c:v>495.29</c:v>
                </c:pt>
                <c:pt idx="4">
                  <c:v>497.1</c:v>
                </c:pt>
                <c:pt idx="5">
                  <c:v>499.04</c:v>
                </c:pt>
                <c:pt idx="6">
                  <c:v>593.55999999999995</c:v>
                </c:pt>
                <c:pt idx="7">
                  <c:v>532.20000000000005</c:v>
                </c:pt>
                <c:pt idx="8">
                  <c:v>559.37</c:v>
                </c:pt>
                <c:pt idx="9">
                  <c:v>680.13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(résultats!$F$11,résultats!$F$25,résultats!$F$39,résultats!$F$53,résultats!$F$67,résultats!$F$81,résultats!$F$95)</c:f>
              <c:numCache>
                <c:formatCode>0.00</c:formatCode>
                <c:ptCount val="7"/>
                <c:pt idx="0">
                  <c:v>498.2</c:v>
                </c:pt>
                <c:pt idx="1">
                  <c:v>498.92</c:v>
                </c:pt>
                <c:pt idx="2">
                  <c:v>496.95</c:v>
                </c:pt>
                <c:pt idx="3">
                  <c:v>514.52</c:v>
                </c:pt>
                <c:pt idx="4">
                  <c:v>503.52</c:v>
                </c:pt>
                <c:pt idx="5">
                  <c:v>511.87</c:v>
                </c:pt>
                <c:pt idx="6">
                  <c:v>521.42999999999995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(résultats!$F$12,résultats!$F$26,résultats!$F$40,résultats!$F$54,résultats!$F$68,résultats!$F$82,résultats!$F$96,résultats!$F$110,résultats!$F$124)</c:f>
              <c:numCache>
                <c:formatCode>0.00</c:formatCode>
                <c:ptCount val="9"/>
                <c:pt idx="0">
                  <c:v>492.94</c:v>
                </c:pt>
                <c:pt idx="1">
                  <c:v>503.35</c:v>
                </c:pt>
                <c:pt idx="2">
                  <c:v>505.73</c:v>
                </c:pt>
                <c:pt idx="3">
                  <c:v>502.89</c:v>
                </c:pt>
                <c:pt idx="4">
                  <c:v>504.5</c:v>
                </c:pt>
                <c:pt idx="5">
                  <c:v>568.91</c:v>
                </c:pt>
                <c:pt idx="6">
                  <c:v>529.58000000000004</c:v>
                </c:pt>
                <c:pt idx="7">
                  <c:v>529.46</c:v>
                </c:pt>
                <c:pt idx="8">
                  <c:v>573.30999999999995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(résultats!$F$13,résultats!$F$27,résultats!$F$41,résultats!$F$55,résultats!$F$69,résultats!$F$83,résultats!$F$97,résultats!$F$111)</c:f>
              <c:numCache>
                <c:formatCode>0.00</c:formatCode>
                <c:ptCount val="8"/>
                <c:pt idx="0">
                  <c:v>503.32</c:v>
                </c:pt>
                <c:pt idx="1">
                  <c:v>501.01</c:v>
                </c:pt>
                <c:pt idx="2">
                  <c:v>525.58000000000004</c:v>
                </c:pt>
                <c:pt idx="3">
                  <c:v>510.93</c:v>
                </c:pt>
                <c:pt idx="4">
                  <c:v>514.37</c:v>
                </c:pt>
                <c:pt idx="5">
                  <c:v>514.67999999999995</c:v>
                </c:pt>
                <c:pt idx="6">
                  <c:v>534.91999999999996</c:v>
                </c:pt>
                <c:pt idx="7">
                  <c:v>563.09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(résultats!$D$14,résultats!$D$28,résultats!$D$42,résultats!$D$57,résultats!$D$70,résultats!$D$84,résultats!$D$98,résultats!$D$112,résultats!$D$126)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(résultats!$F$14,résultats!$F$28,résultats!$F$42,résultats!$F$56,résultats!$F$70,résultats!$F$84,résultats!$F$98,résultats!$F$112,résultats!$F$126)</c:f>
              <c:numCache>
                <c:formatCode>0.00</c:formatCode>
                <c:ptCount val="9"/>
                <c:pt idx="0">
                  <c:v>492.97</c:v>
                </c:pt>
                <c:pt idx="1">
                  <c:v>493.27</c:v>
                </c:pt>
                <c:pt idx="2">
                  <c:v>498.81</c:v>
                </c:pt>
                <c:pt idx="3">
                  <c:v>515.66999999999996</c:v>
                </c:pt>
                <c:pt idx="4">
                  <c:v>510.41</c:v>
                </c:pt>
                <c:pt idx="5">
                  <c:v>510.11</c:v>
                </c:pt>
                <c:pt idx="6">
                  <c:v>512.22</c:v>
                </c:pt>
                <c:pt idx="7">
                  <c:v>522.30999999999995</c:v>
                </c:pt>
                <c:pt idx="8">
                  <c:v>526.92999999999995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(résultats!$F$29,résultats!$F$43,résultats!$F$57,résultats!$F$71,résultats!$F$85,résultats!$F$99,résultats!$F$113,résultats!$F$127,résultats!$F$141)</c:f>
              <c:numCache>
                <c:formatCode>0.00</c:formatCode>
                <c:ptCount val="9"/>
                <c:pt idx="0">
                  <c:v>520.04999999999995</c:v>
                </c:pt>
                <c:pt idx="1">
                  <c:v>523.29</c:v>
                </c:pt>
                <c:pt idx="2">
                  <c:v>527.26</c:v>
                </c:pt>
                <c:pt idx="3">
                  <c:v>531.04</c:v>
                </c:pt>
                <c:pt idx="4">
                  <c:v>524.32000000000005</c:v>
                </c:pt>
                <c:pt idx="5">
                  <c:v>524.01</c:v>
                </c:pt>
                <c:pt idx="6">
                  <c:v>529.80999999999995</c:v>
                </c:pt>
                <c:pt idx="7">
                  <c:v>434.68</c:v>
                </c:pt>
                <c:pt idx="8">
                  <c:v>601.58000000000004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(résultats!$F$16,résultats!$F$30,résultats!$F$44,résultats!$F$58,résultats!$F$72,résultats!$F$86,résultats!$F$100,résultats!$F$114)</c:f>
              <c:numCache>
                <c:formatCode>0.00</c:formatCode>
                <c:ptCount val="8"/>
                <c:pt idx="0">
                  <c:v>503.02</c:v>
                </c:pt>
                <c:pt idx="1">
                  <c:v>504.13</c:v>
                </c:pt>
                <c:pt idx="2">
                  <c:v>499.33</c:v>
                </c:pt>
                <c:pt idx="3">
                  <c:v>507</c:v>
                </c:pt>
                <c:pt idx="4">
                  <c:v>505.58</c:v>
                </c:pt>
                <c:pt idx="5">
                  <c:v>522.19000000000005</c:v>
                </c:pt>
                <c:pt idx="6">
                  <c:v>529.11</c:v>
                </c:pt>
                <c:pt idx="7">
                  <c:v>574.08000000000004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(résultats!$F$17,résultats!$F$31,résultats!$F$45,résultats!$F$59,résultats!$F$73,résultats!$F$87)</c:f>
              <c:numCache>
                <c:formatCode>0.00</c:formatCode>
                <c:ptCount val="6"/>
                <c:pt idx="0">
                  <c:v>474.72</c:v>
                </c:pt>
                <c:pt idx="1">
                  <c:v>478.6</c:v>
                </c:pt>
                <c:pt idx="2">
                  <c:v>483.19</c:v>
                </c:pt>
                <c:pt idx="3">
                  <c:v>493.42</c:v>
                </c:pt>
                <c:pt idx="4">
                  <c:v>497.38</c:v>
                </c:pt>
                <c:pt idx="5">
                  <c:v>497.09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(résultats!$F$18,résultats!$F$32,résultats!$F$46,résultats!$F$60,résultats!$F$74,résultats!$F$88)</c:f>
              <c:numCache>
                <c:formatCode>0.00</c:formatCode>
                <c:ptCount val="6"/>
                <c:pt idx="0">
                  <c:v>531.71</c:v>
                </c:pt>
                <c:pt idx="1">
                  <c:v>521.98</c:v>
                </c:pt>
                <c:pt idx="2">
                  <c:v>522.48</c:v>
                </c:pt>
                <c:pt idx="3">
                  <c:v>525.67999999999995</c:v>
                </c:pt>
                <c:pt idx="4">
                  <c:v>534.26</c:v>
                </c:pt>
                <c:pt idx="5">
                  <c:v>576.16999999999996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(résultats!$F$19,résultats!$F$33,résultats!$F$47,résultats!$F$61,résultats!$F$75,résultats!$F$89,résultats!$F$103,résultats!$F$117,résultats!$F$131)</c:f>
              <c:numCache>
                <c:formatCode>0.00</c:formatCode>
                <c:ptCount val="9"/>
                <c:pt idx="0">
                  <c:v>507.95</c:v>
                </c:pt>
                <c:pt idx="1">
                  <c:v>514.12</c:v>
                </c:pt>
                <c:pt idx="2">
                  <c:v>515.42999999999995</c:v>
                </c:pt>
                <c:pt idx="3">
                  <c:v>514.77</c:v>
                </c:pt>
                <c:pt idx="4">
                  <c:v>518.71</c:v>
                </c:pt>
                <c:pt idx="5">
                  <c:v>566.45000000000005</c:v>
                </c:pt>
                <c:pt idx="6">
                  <c:v>546.05999999999995</c:v>
                </c:pt>
                <c:pt idx="7">
                  <c:v>548.36</c:v>
                </c:pt>
                <c:pt idx="8">
                  <c:v>575.53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(résultats!$F$20,résultats!$F$34,résultats!$F$48,résultats!$F$62,résultats!$F$76,résultats!$F$90,résultats!$F$104,résultats!$F$118,résultats!$F$132)</c:f>
              <c:numCache>
                <c:formatCode>0.00</c:formatCode>
                <c:ptCount val="9"/>
                <c:pt idx="0">
                  <c:v>522.13</c:v>
                </c:pt>
                <c:pt idx="1">
                  <c:v>529.61</c:v>
                </c:pt>
                <c:pt idx="2">
                  <c:v>530.74</c:v>
                </c:pt>
                <c:pt idx="3">
                  <c:v>531.65</c:v>
                </c:pt>
                <c:pt idx="4">
                  <c:v>533.29</c:v>
                </c:pt>
                <c:pt idx="5">
                  <c:v>575.67999999999995</c:v>
                </c:pt>
                <c:pt idx="6">
                  <c:v>523.77</c:v>
                </c:pt>
                <c:pt idx="7">
                  <c:v>529.33000000000004</c:v>
                </c:pt>
                <c:pt idx="8">
                  <c:v>532.48</c:v>
                </c:pt>
              </c:numCache>
            </c:numRef>
          </c:yVal>
        </c:ser>
        <c:axId val="117859840"/>
        <c:axId val="117861376"/>
      </c:scatterChart>
      <c:valAx>
        <c:axId val="117859840"/>
        <c:scaling>
          <c:orientation val="minMax"/>
        </c:scaling>
        <c:axPos val="b"/>
        <c:numFmt formatCode="General" sourceLinked="1"/>
        <c:tickLblPos val="nextTo"/>
        <c:crossAx val="117861376"/>
        <c:crosses val="autoZero"/>
        <c:crossBetween val="midCat"/>
      </c:valAx>
      <c:valAx>
        <c:axId val="117861376"/>
        <c:scaling>
          <c:orientation val="minMax"/>
          <c:min val="400"/>
        </c:scaling>
        <c:axPos val="l"/>
        <c:majorGridlines/>
        <c:numFmt formatCode="0.00" sourceLinked="1"/>
        <c:tickLblPos val="nextTo"/>
        <c:crossAx val="11785984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7575328236920802"/>
          <c:y val="7.9564607544452585E-4"/>
          <c:w val="0.10730697402175372"/>
          <c:h val="0.97692885840545085"/>
        </c:manualLayout>
      </c:layout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874799987140462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(résultats!$L$7,résultats!$L$21,résultats!$L$35,résultats!$L$49,résultats!$L$63,résultats!$L$77,résultats!$L$91,résultats!$L$105,résultats!$L$119,résultats!$L$133)</c:f>
              <c:numCache>
                <c:formatCode>0.00</c:formatCode>
                <c:ptCount val="10"/>
                <c:pt idx="0">
                  <c:v>-98.48</c:v>
                </c:pt>
                <c:pt idx="1">
                  <c:v>-109.27</c:v>
                </c:pt>
                <c:pt idx="2">
                  <c:v>-83.22</c:v>
                </c:pt>
                <c:pt idx="3">
                  <c:v>-95.1</c:v>
                </c:pt>
                <c:pt idx="4">
                  <c:v>-101.39</c:v>
                </c:pt>
                <c:pt idx="5">
                  <c:v>-101.48</c:v>
                </c:pt>
                <c:pt idx="6">
                  <c:v>-106.6</c:v>
                </c:pt>
                <c:pt idx="7">
                  <c:v>-106.1</c:v>
                </c:pt>
                <c:pt idx="8">
                  <c:v>-133.91999999999999</c:v>
                </c:pt>
                <c:pt idx="9">
                  <c:v>-169.83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(résultats!$L$8,résultats!$L$22,résultats!$L$36,résultats!$L$50,résultats!$L$64,résultats!$L$78,résultats!$L$92,résultats!$L$106,résultats!$L$134)</c:f>
              <c:numCache>
                <c:formatCode>0.00</c:formatCode>
                <c:ptCount val="9"/>
                <c:pt idx="0">
                  <c:v>-109.82</c:v>
                </c:pt>
                <c:pt idx="1">
                  <c:v>-111.33</c:v>
                </c:pt>
                <c:pt idx="2">
                  <c:v>-102.31</c:v>
                </c:pt>
                <c:pt idx="3">
                  <c:v>-106.25</c:v>
                </c:pt>
                <c:pt idx="4">
                  <c:v>-116.08</c:v>
                </c:pt>
                <c:pt idx="5">
                  <c:v>-115.87</c:v>
                </c:pt>
                <c:pt idx="6">
                  <c:v>-115.11</c:v>
                </c:pt>
                <c:pt idx="7">
                  <c:v>-113.28</c:v>
                </c:pt>
                <c:pt idx="8">
                  <c:v>-129.44999999999999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(résultats!$L$9,résultats!$L$23,résultats!$L$37,résultats!$L$51,résultats!$L$65,résultats!$L$79,résultats!$L$93,résultats!$L$107,résultats!$L$121,résultats!$L$135,résultats!$L$149)</c:f>
              <c:numCache>
                <c:formatCode>0.00</c:formatCode>
                <c:ptCount val="11"/>
                <c:pt idx="0">
                  <c:v>-105.37</c:v>
                </c:pt>
                <c:pt idx="1">
                  <c:v>-93.79</c:v>
                </c:pt>
                <c:pt idx="2">
                  <c:v>-91.97</c:v>
                </c:pt>
                <c:pt idx="3">
                  <c:v>-94.77</c:v>
                </c:pt>
                <c:pt idx="4">
                  <c:v>-96.4</c:v>
                </c:pt>
                <c:pt idx="5">
                  <c:v>-98.06</c:v>
                </c:pt>
                <c:pt idx="6">
                  <c:v>-98.44</c:v>
                </c:pt>
                <c:pt idx="7">
                  <c:v>-101.85</c:v>
                </c:pt>
                <c:pt idx="8">
                  <c:v>-104.42</c:v>
                </c:pt>
                <c:pt idx="9">
                  <c:v>-110.73</c:v>
                </c:pt>
                <c:pt idx="10">
                  <c:v>-146.25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(résultats!$L$24,résultats!$L$38,résultats!$L$52,résultats!$L$66,résultats!$L$80,résultats!$L$94,résultats!$L$108,résultats!$L$122,résultats!$L$136,résultats!$L$150)</c:f>
              <c:numCache>
                <c:formatCode>0.00</c:formatCode>
                <c:ptCount val="10"/>
                <c:pt idx="0">
                  <c:v>-144.46</c:v>
                </c:pt>
                <c:pt idx="1">
                  <c:v>-140</c:v>
                </c:pt>
                <c:pt idx="2">
                  <c:v>-101.45</c:v>
                </c:pt>
                <c:pt idx="3">
                  <c:v>-108.08</c:v>
                </c:pt>
                <c:pt idx="4">
                  <c:v>-106.16</c:v>
                </c:pt>
                <c:pt idx="5">
                  <c:v>-106.89</c:v>
                </c:pt>
                <c:pt idx="6">
                  <c:v>-203.23</c:v>
                </c:pt>
                <c:pt idx="7">
                  <c:v>-123.27</c:v>
                </c:pt>
                <c:pt idx="8">
                  <c:v>-136.13</c:v>
                </c:pt>
                <c:pt idx="9">
                  <c:v>-312.8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(résultats!$L$11,résultats!$L$25,résultats!$L$39,résultats!$L$53,résultats!$L$67,résultats!$L$81,résultats!$L$95)</c:f>
              <c:numCache>
                <c:formatCode>0.00</c:formatCode>
                <c:ptCount val="7"/>
                <c:pt idx="0">
                  <c:v>-104.19</c:v>
                </c:pt>
                <c:pt idx="1">
                  <c:v>-103.25</c:v>
                </c:pt>
                <c:pt idx="2">
                  <c:v>-106.68</c:v>
                </c:pt>
                <c:pt idx="3">
                  <c:v>-114.65</c:v>
                </c:pt>
                <c:pt idx="4">
                  <c:v>-114.61</c:v>
                </c:pt>
                <c:pt idx="5">
                  <c:v>-125.21</c:v>
                </c:pt>
                <c:pt idx="6">
                  <c:v>-135.79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(résultats!$L$12,résultats!$L$26,résultats!$L$40,résultats!$L$54,résultats!$L$68,résultats!$L$82,résultats!$L$96,résultats!$L$110,résultats!$L$124)</c:f>
              <c:numCache>
                <c:formatCode>0.00</c:formatCode>
                <c:ptCount val="9"/>
                <c:pt idx="0">
                  <c:v>-110.05</c:v>
                </c:pt>
                <c:pt idx="1">
                  <c:v>-111.65</c:v>
                </c:pt>
                <c:pt idx="2">
                  <c:v>-113.16</c:v>
                </c:pt>
                <c:pt idx="3">
                  <c:v>-115.47</c:v>
                </c:pt>
                <c:pt idx="4">
                  <c:v>-113.84</c:v>
                </c:pt>
                <c:pt idx="5">
                  <c:v>-166.47</c:v>
                </c:pt>
                <c:pt idx="6">
                  <c:v>-126.62</c:v>
                </c:pt>
                <c:pt idx="7">
                  <c:v>-131.28</c:v>
                </c:pt>
                <c:pt idx="8">
                  <c:v>-187.66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(résultats!$L$13,résultats!$L$27,résultats!$L$41,résultats!$L$55,résultats!$L$69,résultats!$L$83,résultats!$L$97,résultats!$L$111)</c:f>
              <c:numCache>
                <c:formatCode>0.00</c:formatCode>
                <c:ptCount val="8"/>
                <c:pt idx="0">
                  <c:v>-111.66</c:v>
                </c:pt>
                <c:pt idx="1">
                  <c:v>-99.02</c:v>
                </c:pt>
                <c:pt idx="2">
                  <c:v>-103.79</c:v>
                </c:pt>
                <c:pt idx="3">
                  <c:v>-105.33</c:v>
                </c:pt>
                <c:pt idx="4">
                  <c:v>-105.15</c:v>
                </c:pt>
                <c:pt idx="5">
                  <c:v>-114.88</c:v>
                </c:pt>
                <c:pt idx="6">
                  <c:v>-143.72999999999999</c:v>
                </c:pt>
                <c:pt idx="7">
                  <c:v>-213.62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(résultats!$L$14,résultats!$L$28,résultats!$L$42,résultats!$L$56,résultats!$L$70,résultats!$L$84,résultats!$L$98,résultats!$L$112,résultats!$L$126)</c:f>
              <c:numCache>
                <c:formatCode>0.00</c:formatCode>
                <c:ptCount val="9"/>
                <c:pt idx="0">
                  <c:v>-101.11</c:v>
                </c:pt>
                <c:pt idx="1">
                  <c:v>-90.14</c:v>
                </c:pt>
                <c:pt idx="2">
                  <c:v>-95.13</c:v>
                </c:pt>
                <c:pt idx="3">
                  <c:v>-92.32</c:v>
                </c:pt>
                <c:pt idx="4">
                  <c:v>-97.67</c:v>
                </c:pt>
                <c:pt idx="5">
                  <c:v>-101.95</c:v>
                </c:pt>
                <c:pt idx="6">
                  <c:v>-110.44</c:v>
                </c:pt>
                <c:pt idx="7">
                  <c:v>-128.12</c:v>
                </c:pt>
                <c:pt idx="8">
                  <c:v>-178.39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(résultats!$L$29,résultats!$L$43,résultats!$L$57,résultats!$L$71,résultats!$L$85,résultats!$L$99,résultats!$L$113,résultats!$L$127,résultats!$L$141)</c:f>
              <c:numCache>
                <c:formatCode>0.00</c:formatCode>
                <c:ptCount val="9"/>
                <c:pt idx="0">
                  <c:v>-98.23</c:v>
                </c:pt>
                <c:pt idx="1">
                  <c:v>-107.22</c:v>
                </c:pt>
                <c:pt idx="2">
                  <c:v>-109.09</c:v>
                </c:pt>
                <c:pt idx="3">
                  <c:v>-101.66</c:v>
                </c:pt>
                <c:pt idx="4">
                  <c:v>-103.26</c:v>
                </c:pt>
                <c:pt idx="5">
                  <c:v>-106.27</c:v>
                </c:pt>
                <c:pt idx="6">
                  <c:v>-113.01</c:v>
                </c:pt>
                <c:pt idx="7">
                  <c:v>-43.35</c:v>
                </c:pt>
                <c:pt idx="8">
                  <c:v>-227.34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(résultats!$L$16,résultats!$L$30,résultats!$L$44,résultats!$L$58,résultats!$L$72,résultats!$L$86,résultats!$L$100,résultats!$L$114)</c:f>
              <c:numCache>
                <c:formatCode>0.00</c:formatCode>
                <c:ptCount val="8"/>
                <c:pt idx="0">
                  <c:v>-108.32</c:v>
                </c:pt>
                <c:pt idx="1">
                  <c:v>-103.59</c:v>
                </c:pt>
                <c:pt idx="2">
                  <c:v>-107.95</c:v>
                </c:pt>
                <c:pt idx="3">
                  <c:v>-105.13</c:v>
                </c:pt>
                <c:pt idx="4">
                  <c:v>-108.81</c:v>
                </c:pt>
                <c:pt idx="5">
                  <c:v>-133.88999999999999</c:v>
                </c:pt>
                <c:pt idx="6">
                  <c:v>-154.11000000000001</c:v>
                </c:pt>
                <c:pt idx="7">
                  <c:v>-215.89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(résultats!$L$17,résultats!$L$31,résultats!$L$45,résultats!$L$59,résultats!$L$73,résultats!$L$87)</c:f>
              <c:numCache>
                <c:formatCode>0.00</c:formatCode>
                <c:ptCount val="6"/>
                <c:pt idx="0">
                  <c:v>-92.49</c:v>
                </c:pt>
                <c:pt idx="1">
                  <c:v>-88.91</c:v>
                </c:pt>
                <c:pt idx="2">
                  <c:v>-95.45</c:v>
                </c:pt>
                <c:pt idx="3">
                  <c:v>-101.58</c:v>
                </c:pt>
                <c:pt idx="4">
                  <c:v>-105.16</c:v>
                </c:pt>
                <c:pt idx="5">
                  <c:v>-107.85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(résultats!$L$18,résultats!$L$32,résultats!$L$46,résultats!$L$60,résultats!$L$74,résultats!$L$88)</c:f>
              <c:numCache>
                <c:formatCode>0.00</c:formatCode>
                <c:ptCount val="6"/>
                <c:pt idx="0">
                  <c:v>-101.19</c:v>
                </c:pt>
                <c:pt idx="1">
                  <c:v>-104.53</c:v>
                </c:pt>
                <c:pt idx="2">
                  <c:v>-102.84</c:v>
                </c:pt>
                <c:pt idx="3">
                  <c:v>-115.03</c:v>
                </c:pt>
                <c:pt idx="4">
                  <c:v>-116.77</c:v>
                </c:pt>
                <c:pt idx="5">
                  <c:v>-224.62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(résultats!$L$19,résultats!$L$33,résultats!$L$47,résultats!$L$61,résultats!$L$75,résultats!$L$89,résultats!$L$103,résultats!$L$117,résultats!$L$131)</c:f>
              <c:numCache>
                <c:formatCode>0.00</c:formatCode>
                <c:ptCount val="9"/>
                <c:pt idx="0">
                  <c:v>-110.31</c:v>
                </c:pt>
                <c:pt idx="1">
                  <c:v>-109.68</c:v>
                </c:pt>
                <c:pt idx="2">
                  <c:v>-108.98</c:v>
                </c:pt>
                <c:pt idx="3">
                  <c:v>-113.89</c:v>
                </c:pt>
                <c:pt idx="4">
                  <c:v>-114.48</c:v>
                </c:pt>
                <c:pt idx="5">
                  <c:v>-151.94999999999999</c:v>
                </c:pt>
                <c:pt idx="6">
                  <c:v>-137.03</c:v>
                </c:pt>
                <c:pt idx="7">
                  <c:v>-145.94</c:v>
                </c:pt>
                <c:pt idx="8">
                  <c:v>-186.96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(résultats!$L$20,résultats!$L$34,résultats!$L$48,résultats!$L$62,résultats!$L$76,résultats!$L$90,résultats!$L$104,résultats!$L$118,résultats!$L$132,résultats!$L$146)</c:f>
              <c:numCache>
                <c:formatCode>0.00</c:formatCode>
                <c:ptCount val="10"/>
                <c:pt idx="0">
                  <c:v>-114.43</c:v>
                </c:pt>
                <c:pt idx="1">
                  <c:v>-112.81</c:v>
                </c:pt>
                <c:pt idx="2">
                  <c:v>-112.71</c:v>
                </c:pt>
                <c:pt idx="3">
                  <c:v>-113.31</c:v>
                </c:pt>
                <c:pt idx="4">
                  <c:v>-116.54</c:v>
                </c:pt>
                <c:pt idx="5">
                  <c:v>-160.4</c:v>
                </c:pt>
                <c:pt idx="6">
                  <c:v>-129.24</c:v>
                </c:pt>
                <c:pt idx="7">
                  <c:v>-130.13</c:v>
                </c:pt>
                <c:pt idx="8">
                  <c:v>-145.80000000000001</c:v>
                </c:pt>
                <c:pt idx="9">
                  <c:v>-527.64</c:v>
                </c:pt>
              </c:numCache>
            </c:numRef>
          </c:yVal>
        </c:ser>
        <c:axId val="117995008"/>
        <c:axId val="117996544"/>
      </c:scatterChart>
      <c:valAx>
        <c:axId val="117995008"/>
        <c:scaling>
          <c:orientation val="minMax"/>
        </c:scaling>
        <c:axPos val="b"/>
        <c:numFmt formatCode="General" sourceLinked="1"/>
        <c:tickLblPos val="nextTo"/>
        <c:crossAx val="117996544"/>
        <c:crosses val="autoZero"/>
        <c:crossBetween val="midCat"/>
      </c:valAx>
      <c:valAx>
        <c:axId val="117996544"/>
        <c:scaling>
          <c:orientation val="minMax"/>
        </c:scaling>
        <c:axPos val="l"/>
        <c:majorGridlines/>
        <c:numFmt formatCode="0.00" sourceLinked="1"/>
        <c:tickLblPos val="nextTo"/>
        <c:crossAx val="117995008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453626012572325"/>
          <c:y val="7.9566838296286522E-4"/>
          <c:w val="0.14628639595781656"/>
          <c:h val="0.99920441874044386"/>
        </c:manualLayout>
      </c:layout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874799987140462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(résultats!$K$7,résultats!$K$21,résultats!$K$35,résultats!$K$49,résultats!$K$63,résultats!$K$77,résultats!$K$91,résultats!$K$105,résultats!$K$119,résultats!$K$133)</c:f>
              <c:numCache>
                <c:formatCode>0.00</c:formatCode>
                <c:ptCount val="10"/>
                <c:pt idx="0">
                  <c:v>-55.64</c:v>
                </c:pt>
                <c:pt idx="1">
                  <c:v>-61.28</c:v>
                </c:pt>
                <c:pt idx="2">
                  <c:v>-41.06</c:v>
                </c:pt>
                <c:pt idx="3">
                  <c:v>-55.43</c:v>
                </c:pt>
                <c:pt idx="4">
                  <c:v>-58.62</c:v>
                </c:pt>
                <c:pt idx="5">
                  <c:v>-59.23</c:v>
                </c:pt>
                <c:pt idx="6">
                  <c:v>-62.96</c:v>
                </c:pt>
                <c:pt idx="7">
                  <c:v>-63.39</c:v>
                </c:pt>
                <c:pt idx="8">
                  <c:v>-81.540000000000006</c:v>
                </c:pt>
                <c:pt idx="9">
                  <c:v>-97.7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(résultats!$K$8,résultats!$K$22,résultats!$K$36,résultats!$K$50,résultats!$K$64,résultats!$K$78,résultats!$K$92,résultats!$K$106,résultats!$K$134)</c:f>
              <c:numCache>
                <c:formatCode>0.00</c:formatCode>
                <c:ptCount val="9"/>
                <c:pt idx="0">
                  <c:v>-61.51</c:v>
                </c:pt>
                <c:pt idx="1">
                  <c:v>-58.88</c:v>
                </c:pt>
                <c:pt idx="2">
                  <c:v>-59.13</c:v>
                </c:pt>
                <c:pt idx="3">
                  <c:v>-61.63</c:v>
                </c:pt>
                <c:pt idx="4">
                  <c:v>-65.95</c:v>
                </c:pt>
                <c:pt idx="5">
                  <c:v>-66.33</c:v>
                </c:pt>
                <c:pt idx="6">
                  <c:v>-65.87</c:v>
                </c:pt>
                <c:pt idx="7">
                  <c:v>-67.08</c:v>
                </c:pt>
                <c:pt idx="8">
                  <c:v>-79.790000000000006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(résultats!$K$9,résultats!$K$23,résultats!$K$37,résultats!$K$51,résultats!$K$65,résultats!$K$79,résultats!$K$93,résultats!$K$107,résultats!$K$121,résultats!$K$135,résultats!$K$149)</c:f>
              <c:numCache>
                <c:formatCode>0.00</c:formatCode>
                <c:ptCount val="11"/>
                <c:pt idx="0">
                  <c:v>-57.02</c:v>
                </c:pt>
                <c:pt idx="1">
                  <c:v>-55.18</c:v>
                </c:pt>
                <c:pt idx="2">
                  <c:v>-54.06</c:v>
                </c:pt>
                <c:pt idx="3">
                  <c:v>-55.69</c:v>
                </c:pt>
                <c:pt idx="4">
                  <c:v>-56.79</c:v>
                </c:pt>
                <c:pt idx="5">
                  <c:v>-58.19</c:v>
                </c:pt>
                <c:pt idx="6">
                  <c:v>-59.83</c:v>
                </c:pt>
                <c:pt idx="7">
                  <c:v>-61.74</c:v>
                </c:pt>
                <c:pt idx="8">
                  <c:v>-60.06</c:v>
                </c:pt>
                <c:pt idx="9">
                  <c:v>-67.989999999999995</c:v>
                </c:pt>
                <c:pt idx="10">
                  <c:v>-91.68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(résultats!$K$24,résultats!$K$38,résultats!$K$52,résultats!$K$66,résultats!$K$80,résultats!$K$94,résultats!$K$108,résultats!$K$122,résultats!$K$136,résultats!$K$150)</c:f>
              <c:numCache>
                <c:formatCode>0.00</c:formatCode>
                <c:ptCount val="10"/>
                <c:pt idx="0">
                  <c:v>-66.400000000000006</c:v>
                </c:pt>
                <c:pt idx="1">
                  <c:v>-63.17</c:v>
                </c:pt>
                <c:pt idx="2">
                  <c:v>-61.41</c:v>
                </c:pt>
                <c:pt idx="3">
                  <c:v>-64.33</c:v>
                </c:pt>
                <c:pt idx="4">
                  <c:v>-64.459999999999994</c:v>
                </c:pt>
                <c:pt idx="5">
                  <c:v>-63.06</c:v>
                </c:pt>
                <c:pt idx="6">
                  <c:v>-116.43</c:v>
                </c:pt>
                <c:pt idx="7">
                  <c:v>-72.900000000000006</c:v>
                </c:pt>
                <c:pt idx="8">
                  <c:v>-87.28</c:v>
                </c:pt>
                <c:pt idx="9">
                  <c:v>-183.74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(résultats!$K$11,résultats!$K$25,résultats!$K$39,résultats!$K$53,résultats!$K$67,résultats!$K$81,résultats!$K$95)</c:f>
              <c:numCache>
                <c:formatCode>0.00</c:formatCode>
                <c:ptCount val="7"/>
                <c:pt idx="0">
                  <c:v>-60.19</c:v>
                </c:pt>
                <c:pt idx="1">
                  <c:v>-61.35</c:v>
                </c:pt>
                <c:pt idx="2">
                  <c:v>-61.42</c:v>
                </c:pt>
                <c:pt idx="3">
                  <c:v>-69.180000000000007</c:v>
                </c:pt>
                <c:pt idx="4">
                  <c:v>-68.59</c:v>
                </c:pt>
                <c:pt idx="5">
                  <c:v>-71.36</c:v>
                </c:pt>
                <c:pt idx="6">
                  <c:v>-84.22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(résultats!$K$12,résultats!$K$26,résultats!$K$40,résultats!$K$54,résultats!$K$68,résultats!$K$82,résultats!$K$96,résultats!$K$110,résultats!$K$124)</c:f>
              <c:numCache>
                <c:formatCode>0.00</c:formatCode>
                <c:ptCount val="9"/>
                <c:pt idx="0">
                  <c:v>-64.09</c:v>
                </c:pt>
                <c:pt idx="1">
                  <c:v>-64.97</c:v>
                </c:pt>
                <c:pt idx="2">
                  <c:v>-65.55</c:v>
                </c:pt>
                <c:pt idx="3">
                  <c:v>-68.069999999999993</c:v>
                </c:pt>
                <c:pt idx="4">
                  <c:v>-68.53</c:v>
                </c:pt>
                <c:pt idx="5">
                  <c:v>-99.63</c:v>
                </c:pt>
                <c:pt idx="6">
                  <c:v>-74.930000000000007</c:v>
                </c:pt>
                <c:pt idx="7">
                  <c:v>-84.22</c:v>
                </c:pt>
                <c:pt idx="8">
                  <c:v>-117.2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(résultats!$K$13,résultats!$K$27,résultats!$K$41,résultats!$K$55,résultats!$K$69,résultats!$K$83,résultats!$K$97,résultats!$K$111)</c:f>
              <c:numCache>
                <c:formatCode>0.00</c:formatCode>
                <c:ptCount val="8"/>
                <c:pt idx="0">
                  <c:v>-59.2</c:v>
                </c:pt>
                <c:pt idx="1">
                  <c:v>-55.47</c:v>
                </c:pt>
                <c:pt idx="2">
                  <c:v>-58.18</c:v>
                </c:pt>
                <c:pt idx="3">
                  <c:v>-59.87</c:v>
                </c:pt>
                <c:pt idx="4">
                  <c:v>-61.18</c:v>
                </c:pt>
                <c:pt idx="5">
                  <c:v>-66.959999999999994</c:v>
                </c:pt>
                <c:pt idx="6">
                  <c:v>-86.46</c:v>
                </c:pt>
                <c:pt idx="7">
                  <c:v>129.65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(résultats!$K$14,résultats!$K$28,résultats!$K$42,résultats!$K$56,résultats!$K$70,résultats!$K$84,résultats!$K$98,résultats!$K$112,résultats!$K$126)</c:f>
              <c:numCache>
                <c:formatCode>0.00</c:formatCode>
                <c:ptCount val="9"/>
                <c:pt idx="0">
                  <c:v>-54.81</c:v>
                </c:pt>
                <c:pt idx="1">
                  <c:v>-51.15</c:v>
                </c:pt>
                <c:pt idx="2">
                  <c:v>-50.2</c:v>
                </c:pt>
                <c:pt idx="3">
                  <c:v>-52.12</c:v>
                </c:pt>
                <c:pt idx="4">
                  <c:v>-57.28</c:v>
                </c:pt>
                <c:pt idx="5">
                  <c:v>-59.88</c:v>
                </c:pt>
                <c:pt idx="6">
                  <c:v>-64.41</c:v>
                </c:pt>
                <c:pt idx="7">
                  <c:v>-71.040000000000006</c:v>
                </c:pt>
                <c:pt idx="8">
                  <c:v>-97.8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(résultats!$K$29,résultats!$K$43,résultats!$K$57,résultats!$K$71,résultats!$K$85,résultats!$K$99,résultats!$K$113,résultats!$K$127,résultats!$K$141)</c:f>
              <c:numCache>
                <c:formatCode>0.00</c:formatCode>
                <c:ptCount val="9"/>
                <c:pt idx="0">
                  <c:v>-56.99</c:v>
                </c:pt>
                <c:pt idx="1">
                  <c:v>-59.8</c:v>
                </c:pt>
                <c:pt idx="2">
                  <c:v>-61.12</c:v>
                </c:pt>
                <c:pt idx="3">
                  <c:v>-60.28</c:v>
                </c:pt>
                <c:pt idx="4">
                  <c:v>-61.07</c:v>
                </c:pt>
                <c:pt idx="5">
                  <c:v>-62.84</c:v>
                </c:pt>
                <c:pt idx="6">
                  <c:v>-61.98</c:v>
                </c:pt>
                <c:pt idx="7">
                  <c:v>-18.079999999999998</c:v>
                </c:pt>
                <c:pt idx="8">
                  <c:v>-130.69999999999999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(résultats!$K$16,résultats!$K$30,résultats!$K$44,résultats!$K$58,résultats!$K$72,résultats!$K$86,résultats!$K$100,résultats!$K$114)</c:f>
              <c:numCache>
                <c:formatCode>0.00</c:formatCode>
                <c:ptCount val="8"/>
                <c:pt idx="0">
                  <c:v>-60.28</c:v>
                </c:pt>
                <c:pt idx="1">
                  <c:v>-58.9</c:v>
                </c:pt>
                <c:pt idx="2">
                  <c:v>-62.41</c:v>
                </c:pt>
                <c:pt idx="3">
                  <c:v>-62.61</c:v>
                </c:pt>
                <c:pt idx="4">
                  <c:v>-65.430000000000007</c:v>
                </c:pt>
                <c:pt idx="5">
                  <c:v>-69.41</c:v>
                </c:pt>
                <c:pt idx="6">
                  <c:v>-90.18</c:v>
                </c:pt>
                <c:pt idx="7">
                  <c:v>-117.1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(résultats!$K$17,résultats!$K$31,résultats!$K$45,résultats!$K$59,résultats!$K$73,résultats!$K$87)</c:f>
              <c:numCache>
                <c:formatCode>0.00</c:formatCode>
                <c:ptCount val="6"/>
                <c:pt idx="0">
                  <c:v>-51.95</c:v>
                </c:pt>
                <c:pt idx="1">
                  <c:v>-51.65</c:v>
                </c:pt>
                <c:pt idx="2">
                  <c:v>-53.51</c:v>
                </c:pt>
                <c:pt idx="3">
                  <c:v>-58.85</c:v>
                </c:pt>
                <c:pt idx="4">
                  <c:v>-62.89</c:v>
                </c:pt>
                <c:pt idx="5">
                  <c:v>-66.37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(résultats!$K$18,résultats!$K$32,résultats!$K$46,résultats!$K$60,résultats!$K$74,résultats!$K$88)</c:f>
              <c:numCache>
                <c:formatCode>0.00</c:formatCode>
                <c:ptCount val="6"/>
                <c:pt idx="0">
                  <c:v>-54.71</c:v>
                </c:pt>
                <c:pt idx="1">
                  <c:v>-61.73</c:v>
                </c:pt>
                <c:pt idx="2">
                  <c:v>61.39</c:v>
                </c:pt>
                <c:pt idx="3">
                  <c:v>-69.52</c:v>
                </c:pt>
                <c:pt idx="4">
                  <c:v>-72.459999999999994</c:v>
                </c:pt>
                <c:pt idx="5">
                  <c:v>-134.55000000000001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(résultats!$K$19,résultats!$K$33,résultats!$K$47,résultats!$K$61,résultats!$K$75,résultats!$K$89,résultats!$K$103,résultats!$K$117,résultats!$K$131)</c:f>
              <c:numCache>
                <c:formatCode>0.00</c:formatCode>
                <c:ptCount val="9"/>
                <c:pt idx="0">
                  <c:v>-62.63</c:v>
                </c:pt>
                <c:pt idx="1">
                  <c:v>-62.87</c:v>
                </c:pt>
                <c:pt idx="2">
                  <c:v>-63.82</c:v>
                </c:pt>
                <c:pt idx="3">
                  <c:v>-66.02</c:v>
                </c:pt>
                <c:pt idx="4">
                  <c:v>-68.14</c:v>
                </c:pt>
                <c:pt idx="5">
                  <c:v>-89.9</c:v>
                </c:pt>
                <c:pt idx="6">
                  <c:v>-77.099999999999994</c:v>
                </c:pt>
                <c:pt idx="7">
                  <c:v>-82</c:v>
                </c:pt>
                <c:pt idx="8">
                  <c:v>-115.79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(résultats!$K$20,résultats!$K$34,résultats!$K$48,résultats!$K$62,résultats!$K$76,résultats!$K$90,résultats!$K$104,résultats!$K$118,résultats!$K$132,résultats!$K$146)</c:f>
              <c:numCache>
                <c:formatCode>0.00</c:formatCode>
                <c:ptCount val="10"/>
                <c:pt idx="0">
                  <c:v>-65.36</c:v>
                </c:pt>
                <c:pt idx="1">
                  <c:v>-63.78</c:v>
                </c:pt>
                <c:pt idx="2">
                  <c:v>-64.819999999999993</c:v>
                </c:pt>
                <c:pt idx="3">
                  <c:v>-65.069999999999993</c:v>
                </c:pt>
                <c:pt idx="4">
                  <c:v>-65.19</c:v>
                </c:pt>
                <c:pt idx="5">
                  <c:v>-94.33</c:v>
                </c:pt>
                <c:pt idx="6">
                  <c:v>-68.52</c:v>
                </c:pt>
                <c:pt idx="7">
                  <c:v>-72.67</c:v>
                </c:pt>
                <c:pt idx="8">
                  <c:v>-89.28</c:v>
                </c:pt>
                <c:pt idx="9">
                  <c:v>-144.94</c:v>
                </c:pt>
              </c:numCache>
            </c:numRef>
          </c:yVal>
        </c:ser>
        <c:axId val="118101504"/>
        <c:axId val="118103040"/>
      </c:scatterChart>
      <c:valAx>
        <c:axId val="118101504"/>
        <c:scaling>
          <c:orientation val="minMax"/>
        </c:scaling>
        <c:axPos val="b"/>
        <c:numFmt formatCode="General" sourceLinked="1"/>
        <c:tickLblPos val="nextTo"/>
        <c:crossAx val="118103040"/>
        <c:crosses val="autoZero"/>
        <c:crossBetween val="midCat"/>
      </c:valAx>
      <c:valAx>
        <c:axId val="118103040"/>
        <c:scaling>
          <c:orientation val="minMax"/>
        </c:scaling>
        <c:axPos val="l"/>
        <c:majorGridlines/>
        <c:numFmt formatCode="0.00" sourceLinked="1"/>
        <c:tickLblPos val="nextTo"/>
        <c:crossAx val="118101504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4536260125723228"/>
          <c:y val="7.9566838296286544E-4"/>
          <c:w val="0.14628639595781662"/>
          <c:h val="0.99920441874044386"/>
        </c:manualLayout>
      </c:layout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7.6559663985050472E-2"/>
          <c:y val="1.6745867172616481E-2"/>
          <c:w val="0.7925973022011156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(résultats!$H$7,résultats!$H$21,résultats!$H$35,résultats!$H$49,résultats!$H$63,résultats!$H$77,résultats!$H$91,résultats!$H$105,résultats!$H$119,résultats!$H$133)</c:f>
              <c:numCache>
                <c:formatCode>0.00</c:formatCode>
                <c:ptCount val="10"/>
                <c:pt idx="0">
                  <c:v>597.04999999999995</c:v>
                </c:pt>
                <c:pt idx="1">
                  <c:v>643.76</c:v>
                </c:pt>
                <c:pt idx="2">
                  <c:v>604.84</c:v>
                </c:pt>
                <c:pt idx="3">
                  <c:v>639.66</c:v>
                </c:pt>
                <c:pt idx="4">
                  <c:v>659.21</c:v>
                </c:pt>
                <c:pt idx="5">
                  <c:v>672.75</c:v>
                </c:pt>
                <c:pt idx="6">
                  <c:v>692.84</c:v>
                </c:pt>
                <c:pt idx="7">
                  <c:v>706.15</c:v>
                </c:pt>
                <c:pt idx="8">
                  <c:v>863.7</c:v>
                </c:pt>
                <c:pt idx="9">
                  <c:v>1018.13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(résultats!$H$8,résultats!$H$22,résultats!$H$36,résultats!$H$50,résultats!$H$64,résultats!$H$78,résultats!$H$92,résultats!$H$106,résultats!$H$134)</c:f>
              <c:numCache>
                <c:formatCode>0.00</c:formatCode>
                <c:ptCount val="9"/>
                <c:pt idx="0">
                  <c:v>626.97</c:v>
                </c:pt>
                <c:pt idx="1">
                  <c:v>653.59</c:v>
                </c:pt>
                <c:pt idx="2">
                  <c:v>659.35</c:v>
                </c:pt>
                <c:pt idx="3">
                  <c:v>667.48</c:v>
                </c:pt>
                <c:pt idx="4">
                  <c:v>692.52</c:v>
                </c:pt>
                <c:pt idx="5">
                  <c:v>697.31</c:v>
                </c:pt>
                <c:pt idx="6">
                  <c:v>721.77</c:v>
                </c:pt>
                <c:pt idx="7">
                  <c:v>757.12</c:v>
                </c:pt>
                <c:pt idx="8">
                  <c:v>832.03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(résultats!$H$9,résultats!$H$23,résultats!$H$37,résultats!$H$51,résultats!$H$65,résultats!$H$79,résultats!$H$93,résultats!$H$107,résultats!$H$121,résultats!$H$135,résultats!$H$149)</c:f>
              <c:numCache>
                <c:formatCode>0.00</c:formatCode>
                <c:ptCount val="11"/>
                <c:pt idx="0">
                  <c:v>594.79</c:v>
                </c:pt>
                <c:pt idx="1">
                  <c:v>590.27</c:v>
                </c:pt>
                <c:pt idx="2">
                  <c:v>583.76</c:v>
                </c:pt>
                <c:pt idx="3">
                  <c:v>494.57</c:v>
                </c:pt>
                <c:pt idx="4">
                  <c:v>605.46</c:v>
                </c:pt>
                <c:pt idx="5">
                  <c:v>612.79</c:v>
                </c:pt>
                <c:pt idx="6">
                  <c:v>624.32000000000005</c:v>
                </c:pt>
                <c:pt idx="7">
                  <c:v>649.70000000000005</c:v>
                </c:pt>
                <c:pt idx="8">
                  <c:v>677.96</c:v>
                </c:pt>
                <c:pt idx="9">
                  <c:v>716.74</c:v>
                </c:pt>
                <c:pt idx="10">
                  <c:v>890.2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(résultats!$H$24,résultats!$H$38,résultats!$H$52,résultats!$H$66,résultats!$H$80,résultats!$H$94,résultats!$H$108,résultats!$H$122,résultats!$H$136,résultats!$H$150)</c:f>
              <c:numCache>
                <c:formatCode>0.00</c:formatCode>
                <c:ptCount val="10"/>
                <c:pt idx="0">
                  <c:v>613.35</c:v>
                </c:pt>
                <c:pt idx="1">
                  <c:v>617.1</c:v>
                </c:pt>
                <c:pt idx="2">
                  <c:v>604.46</c:v>
                </c:pt>
                <c:pt idx="3">
                  <c:v>626.72</c:v>
                </c:pt>
                <c:pt idx="4">
                  <c:v>630.70000000000005</c:v>
                </c:pt>
                <c:pt idx="5">
                  <c:v>638.25</c:v>
                </c:pt>
                <c:pt idx="6">
                  <c:v>784.63</c:v>
                </c:pt>
                <c:pt idx="7">
                  <c:v>738.79</c:v>
                </c:pt>
                <c:pt idx="8">
                  <c:v>800.99</c:v>
                </c:pt>
                <c:pt idx="9">
                  <c:v>985.42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(résultats!$H$11,résultats!$H$25,résultats!$H$39,résultats!$H$53,résultats!$H$67,résultats!$H$81,résultats!$H$95)</c:f>
              <c:numCache>
                <c:formatCode>0.00</c:formatCode>
                <c:ptCount val="7"/>
                <c:pt idx="0">
                  <c:v>617.38</c:v>
                </c:pt>
                <c:pt idx="1">
                  <c:v>640.29999999999995</c:v>
                </c:pt>
                <c:pt idx="2">
                  <c:v>641.70000000000005</c:v>
                </c:pt>
                <c:pt idx="3">
                  <c:v>669.01</c:v>
                </c:pt>
                <c:pt idx="4">
                  <c:v>717.22</c:v>
                </c:pt>
                <c:pt idx="5">
                  <c:v>780.66</c:v>
                </c:pt>
                <c:pt idx="6">
                  <c:v>819.46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(résultats!$H$12,résultats!$H$26,résultats!$H$40,résultats!$H$54,résultats!$H$68,résultats!$H$82,résultats!$H$96,résultats!$H$110,résultats!$H$124)</c:f>
              <c:numCache>
                <c:formatCode>0.00</c:formatCode>
                <c:ptCount val="9"/>
                <c:pt idx="0">
                  <c:v>631.94000000000005</c:v>
                </c:pt>
                <c:pt idx="1">
                  <c:v>660.12</c:v>
                </c:pt>
                <c:pt idx="2">
                  <c:v>668.42</c:v>
                </c:pt>
                <c:pt idx="3">
                  <c:v>681.07</c:v>
                </c:pt>
                <c:pt idx="4">
                  <c:v>688.79</c:v>
                </c:pt>
                <c:pt idx="5">
                  <c:v>784.76</c:v>
                </c:pt>
                <c:pt idx="6">
                  <c:v>767.71</c:v>
                </c:pt>
                <c:pt idx="7">
                  <c:v>811.79</c:v>
                </c:pt>
                <c:pt idx="8">
                  <c:v>1095.24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(résultats!$H$13,résultats!$H$27,résultats!$H$41,résultats!$H$55,résultats!$H$69,résultats!$H$83,résultats!$H$97,résultats!$H$111)</c:f>
              <c:numCache>
                <c:formatCode>0.00</c:formatCode>
                <c:ptCount val="8"/>
                <c:pt idx="0">
                  <c:v>637</c:v>
                </c:pt>
                <c:pt idx="1">
                  <c:v>655.01</c:v>
                </c:pt>
                <c:pt idx="2">
                  <c:v>670.97</c:v>
                </c:pt>
                <c:pt idx="3">
                  <c:v>673.42</c:v>
                </c:pt>
                <c:pt idx="4">
                  <c:v>686.06</c:v>
                </c:pt>
                <c:pt idx="5">
                  <c:v>722.33</c:v>
                </c:pt>
                <c:pt idx="6">
                  <c:v>875.6</c:v>
                </c:pt>
                <c:pt idx="7">
                  <c:v>1215.83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(résultats!$D$14,résultats!$D$28,résultats!$D$42,résultats!$D$57,résultats!$D$70,résultats!$D$84,résultats!$D$98,résultats!$D$112,résultats!$D$126)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(résultats!$H$14,résultats!$H$28,résultats!$H$42,résultats!$H$56,résultats!$H$70,résultats!$H$84,résultats!$H$98,résultats!$H$112,résultats!$H$126)</c:f>
              <c:numCache>
                <c:formatCode>0.00</c:formatCode>
                <c:ptCount val="9"/>
                <c:pt idx="0">
                  <c:v>601.92999999999995</c:v>
                </c:pt>
                <c:pt idx="1">
                  <c:v>635.03</c:v>
                </c:pt>
                <c:pt idx="2">
                  <c:v>642.25</c:v>
                </c:pt>
                <c:pt idx="3">
                  <c:v>648.69000000000005</c:v>
                </c:pt>
                <c:pt idx="4">
                  <c:v>669.14</c:v>
                </c:pt>
                <c:pt idx="5">
                  <c:v>692.86</c:v>
                </c:pt>
                <c:pt idx="6">
                  <c:v>712.35</c:v>
                </c:pt>
                <c:pt idx="7">
                  <c:v>780.02</c:v>
                </c:pt>
                <c:pt idx="8">
                  <c:v>955.97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(résultats!$H$29,résultats!$H$43,résultats!$H$57,résultats!$H$71,résultats!$H$85,résultats!$H$99,résultats!$H$113,résultats!$H$127,résultats!$H$141)</c:f>
              <c:numCache>
                <c:formatCode>0.00</c:formatCode>
                <c:ptCount val="9"/>
                <c:pt idx="0">
                  <c:v>655.09</c:v>
                </c:pt>
                <c:pt idx="1">
                  <c:v>665.61</c:v>
                </c:pt>
                <c:pt idx="2">
                  <c:v>672.66</c:v>
                </c:pt>
                <c:pt idx="3">
                  <c:v>683.1</c:v>
                </c:pt>
                <c:pt idx="4">
                  <c:v>681.43</c:v>
                </c:pt>
                <c:pt idx="5">
                  <c:v>697.41</c:v>
                </c:pt>
                <c:pt idx="6">
                  <c:v>745.16</c:v>
                </c:pt>
                <c:pt idx="7">
                  <c:v>742.39</c:v>
                </c:pt>
                <c:pt idx="8">
                  <c:v>1292.95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(résultats!$H$16,résultats!$H$30,résultats!$H$44,résultats!$H$58,résultats!$H$72,résultats!$H$86,résultats!$H$100,résultats!$H$114)</c:f>
              <c:numCache>
                <c:formatCode>0.00</c:formatCode>
                <c:ptCount val="8"/>
                <c:pt idx="0">
                  <c:v>643.79</c:v>
                </c:pt>
                <c:pt idx="1">
                  <c:v>659.87</c:v>
                </c:pt>
                <c:pt idx="2">
                  <c:v>673.29</c:v>
                </c:pt>
                <c:pt idx="3">
                  <c:v>681.83</c:v>
                </c:pt>
                <c:pt idx="4">
                  <c:v>699.43</c:v>
                </c:pt>
                <c:pt idx="5">
                  <c:v>760.99</c:v>
                </c:pt>
                <c:pt idx="6">
                  <c:v>920.45</c:v>
                </c:pt>
                <c:pt idx="7">
                  <c:v>1304.8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(résultats!$H$17,résultats!$H$31,résultats!$H$45,résultats!$H$59,résultats!$H$73,résultats!$H$87)</c:f>
              <c:numCache>
                <c:formatCode>0.00</c:formatCode>
                <c:ptCount val="6"/>
                <c:pt idx="0">
                  <c:v>571.87</c:v>
                </c:pt>
                <c:pt idx="1">
                  <c:v>600.55999999999995</c:v>
                </c:pt>
                <c:pt idx="2">
                  <c:v>624.08000000000004</c:v>
                </c:pt>
                <c:pt idx="3">
                  <c:v>665.3</c:v>
                </c:pt>
                <c:pt idx="4">
                  <c:v>708.14</c:v>
                </c:pt>
                <c:pt idx="5">
                  <c:v>744.44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(résultats!$H$18,résultats!$H$32,résultats!$H$46,résultats!$H$60,résultats!$H$74,résultats!$H$88)</c:f>
              <c:numCache>
                <c:formatCode>0.00</c:formatCode>
                <c:ptCount val="6"/>
                <c:pt idx="0">
                  <c:v>644.9</c:v>
                </c:pt>
                <c:pt idx="1">
                  <c:v>678.56</c:v>
                </c:pt>
                <c:pt idx="2">
                  <c:v>678.3</c:v>
                </c:pt>
                <c:pt idx="3">
                  <c:v>725.37</c:v>
                </c:pt>
                <c:pt idx="4">
                  <c:v>757.76</c:v>
                </c:pt>
                <c:pt idx="5">
                  <c:v>1297.3499999999999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(résultats!$H$19,résultats!$H$33,résultats!$H$47,résultats!$H$61,résultats!$H$75,résultats!$H$89,résultats!$H$103,résultats!$H$117,résultats!$H$131)</c:f>
              <c:numCache>
                <c:formatCode>0.00</c:formatCode>
                <c:ptCount val="9"/>
                <c:pt idx="0">
                  <c:v>617.08000000000004</c:v>
                </c:pt>
                <c:pt idx="1">
                  <c:v>648.19000000000005</c:v>
                </c:pt>
                <c:pt idx="2">
                  <c:v>651.33000000000004</c:v>
                </c:pt>
                <c:pt idx="3">
                  <c:v>664.82</c:v>
                </c:pt>
                <c:pt idx="4">
                  <c:v>680.59</c:v>
                </c:pt>
                <c:pt idx="5">
                  <c:v>765.02</c:v>
                </c:pt>
                <c:pt idx="6">
                  <c:v>806.51</c:v>
                </c:pt>
                <c:pt idx="7">
                  <c:v>853.7</c:v>
                </c:pt>
                <c:pt idx="8">
                  <c:v>1053.04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(résultats!$H$20,résultats!$H$34,résultats!$H$48,résultats!$H$62,résultats!$H$76,résultats!$H$90,résultats!$H$104,résultats!$H$118,résultats!$H$132,résultats!$H$146)</c:f>
              <c:numCache>
                <c:formatCode>0.00</c:formatCode>
                <c:ptCount val="10"/>
                <c:pt idx="0">
                  <c:v>638.14</c:v>
                </c:pt>
                <c:pt idx="1">
                  <c:v>665.72</c:v>
                </c:pt>
                <c:pt idx="2">
                  <c:v>667.08</c:v>
                </c:pt>
                <c:pt idx="3">
                  <c:v>671.54</c:v>
                </c:pt>
                <c:pt idx="4">
                  <c:v>681.25</c:v>
                </c:pt>
                <c:pt idx="5">
                  <c:v>749.58</c:v>
                </c:pt>
                <c:pt idx="6">
                  <c:v>747.37</c:v>
                </c:pt>
                <c:pt idx="7">
                  <c:v>819.2</c:v>
                </c:pt>
                <c:pt idx="8">
                  <c:v>894.59</c:v>
                </c:pt>
                <c:pt idx="9">
                  <c:v>1031.75</c:v>
                </c:pt>
              </c:numCache>
            </c:numRef>
          </c:yVal>
        </c:ser>
        <c:axId val="118219520"/>
        <c:axId val="118221056"/>
      </c:scatterChart>
      <c:valAx>
        <c:axId val="118219520"/>
        <c:scaling>
          <c:orientation val="minMax"/>
        </c:scaling>
        <c:axPos val="b"/>
        <c:numFmt formatCode="General" sourceLinked="1"/>
        <c:tickLblPos val="nextTo"/>
        <c:crossAx val="118221056"/>
        <c:crosses val="autoZero"/>
        <c:crossBetween val="midCat"/>
      </c:valAx>
      <c:valAx>
        <c:axId val="118221056"/>
        <c:scaling>
          <c:orientation val="minMax"/>
          <c:min val="400"/>
        </c:scaling>
        <c:axPos val="l"/>
        <c:majorGridlines/>
        <c:numFmt formatCode="0.00" sourceLinked="1"/>
        <c:tickLblPos val="nextTo"/>
        <c:crossAx val="11821952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7575328236920824"/>
          <c:y val="7.9564607544452639E-4"/>
          <c:w val="0.10730697402175372"/>
          <c:h val="0.97692885840545118"/>
        </c:manualLayout>
      </c:layout>
    </c:legend>
    <c:plotVisOnly val="1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5298879743820235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(résultats!$J$7,résultats!$J$21,résultats!$J$35,résultats!$J$49,résultats!$J$63,résultats!$J$77,résultats!$J$91,résultats!$J$105,résultats!$J$119,résultats!$J$133)</c:f>
              <c:numCache>
                <c:formatCode>0.00</c:formatCode>
                <c:ptCount val="10"/>
                <c:pt idx="0">
                  <c:v>777.8</c:v>
                </c:pt>
                <c:pt idx="1">
                  <c:v>809.18</c:v>
                </c:pt>
                <c:pt idx="2">
                  <c:v>772.32</c:v>
                </c:pt>
                <c:pt idx="3">
                  <c:v>806.62</c:v>
                </c:pt>
                <c:pt idx="4">
                  <c:v>822.94</c:v>
                </c:pt>
                <c:pt idx="5">
                  <c:v>832.22</c:v>
                </c:pt>
                <c:pt idx="6">
                  <c:v>851.68</c:v>
                </c:pt>
                <c:pt idx="7">
                  <c:v>863.87</c:v>
                </c:pt>
                <c:pt idx="8">
                  <c:v>1003.69</c:v>
                </c:pt>
                <c:pt idx="9">
                  <c:v>1141.18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(résultats!$J$8,résultats!$J$22,résultats!$J$36,résultats!$J$50,résultats!$J$64,résultats!$J$78,résultats!$J$92,résultats!$J$106,résultats!$J$134)</c:f>
              <c:numCache>
                <c:formatCode>0.00</c:formatCode>
                <c:ptCount val="9"/>
                <c:pt idx="0">
                  <c:v>791.8</c:v>
                </c:pt>
                <c:pt idx="1">
                  <c:v>823.86</c:v>
                </c:pt>
                <c:pt idx="2">
                  <c:v>820.82</c:v>
                </c:pt>
                <c:pt idx="3">
                  <c:v>826.34</c:v>
                </c:pt>
                <c:pt idx="4">
                  <c:v>848.2</c:v>
                </c:pt>
                <c:pt idx="5">
                  <c:v>858.8</c:v>
                </c:pt>
                <c:pt idx="6">
                  <c:v>870.81</c:v>
                </c:pt>
                <c:pt idx="7">
                  <c:v>904.85</c:v>
                </c:pt>
                <c:pt idx="8">
                  <c:v>970.48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(résultats!$J$9,résultats!$J$23,résultats!$J$37,résultats!$J$51,résultats!$J$65,résultats!$J$79,résultats!$J$93,résultats!$J$107,résultats!$J$121,résultats!$J$135,résultats!$J$149)</c:f>
              <c:numCache>
                <c:formatCode>0.00</c:formatCode>
                <c:ptCount val="11"/>
                <c:pt idx="0">
                  <c:v>782.57</c:v>
                </c:pt>
                <c:pt idx="1">
                  <c:v>765.56</c:v>
                </c:pt>
                <c:pt idx="2">
                  <c:v>758.99</c:v>
                </c:pt>
                <c:pt idx="3">
                  <c:v>767.75</c:v>
                </c:pt>
                <c:pt idx="4">
                  <c:v>779.47</c:v>
                </c:pt>
                <c:pt idx="5">
                  <c:v>782.12</c:v>
                </c:pt>
                <c:pt idx="6">
                  <c:v>794.71</c:v>
                </c:pt>
                <c:pt idx="7">
                  <c:v>817.06</c:v>
                </c:pt>
                <c:pt idx="8">
                  <c:v>833.09</c:v>
                </c:pt>
                <c:pt idx="9">
                  <c:v>868.56</c:v>
                </c:pt>
                <c:pt idx="10">
                  <c:v>1025.83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(résultats!$J$24,résultats!$J$38,résultats!$J$52,résultats!$J$66,résultats!$J$80,résultats!$J$94,résultats!$J$108,résultats!$J$122,résultats!$J$136,résultats!$J$150)</c:f>
              <c:numCache>
                <c:formatCode>0.00</c:formatCode>
                <c:ptCount val="10"/>
                <c:pt idx="0">
                  <c:v>785.23</c:v>
                </c:pt>
                <c:pt idx="1">
                  <c:v>794.45</c:v>
                </c:pt>
                <c:pt idx="2">
                  <c:v>775.63</c:v>
                </c:pt>
                <c:pt idx="3">
                  <c:v>791.15</c:v>
                </c:pt>
                <c:pt idx="4">
                  <c:v>796.9</c:v>
                </c:pt>
                <c:pt idx="5">
                  <c:v>803.04</c:v>
                </c:pt>
                <c:pt idx="6">
                  <c:v>979.22</c:v>
                </c:pt>
                <c:pt idx="7">
                  <c:v>902.08</c:v>
                </c:pt>
                <c:pt idx="8">
                  <c:v>970.72</c:v>
                </c:pt>
                <c:pt idx="9">
                  <c:v>1189.67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(résultats!$J$11,résultats!$J$25,résultats!$J$39,résultats!$J$53,résultats!$J$67,résultats!$J$81)</c:f>
              <c:numCache>
                <c:formatCode>0.00</c:formatCode>
                <c:ptCount val="6"/>
                <c:pt idx="0">
                  <c:v>793.32</c:v>
                </c:pt>
                <c:pt idx="1">
                  <c:v>805.57</c:v>
                </c:pt>
                <c:pt idx="2">
                  <c:v>808.67</c:v>
                </c:pt>
                <c:pt idx="3">
                  <c:v>838.85</c:v>
                </c:pt>
                <c:pt idx="4">
                  <c:v>871.2</c:v>
                </c:pt>
                <c:pt idx="5">
                  <c:v>932.51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(résultats!$J$12,résultats!$J$26,résultats!$J$40,résultats!$J$54,résultats!$J$68,résultats!$J$82,résultats!$J$96,résultats!$J$110,résultats!$J$124)</c:f>
              <c:numCache>
                <c:formatCode>0.00</c:formatCode>
                <c:ptCount val="9"/>
                <c:pt idx="0">
                  <c:v>800.23</c:v>
                </c:pt>
                <c:pt idx="1">
                  <c:v>826.37</c:v>
                </c:pt>
                <c:pt idx="2">
                  <c:v>830.32</c:v>
                </c:pt>
                <c:pt idx="3">
                  <c:v>841.24</c:v>
                </c:pt>
                <c:pt idx="4">
                  <c:v>848.99</c:v>
                </c:pt>
                <c:pt idx="5">
                  <c:v>966.26</c:v>
                </c:pt>
                <c:pt idx="6">
                  <c:v>925.03</c:v>
                </c:pt>
                <c:pt idx="7">
                  <c:v>963.3</c:v>
                </c:pt>
                <c:pt idx="8">
                  <c:v>1226.55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(résultats!$J$13,résultats!$J$27,résultats!$J$41,résultats!$J$55,résultats!$J$69,résultats!$J$83,résultats!$J$97,résultats!$J$111)</c:f>
              <c:numCache>
                <c:formatCode>0.00</c:formatCode>
                <c:ptCount val="8"/>
                <c:pt idx="0">
                  <c:v>806.61</c:v>
                </c:pt>
                <c:pt idx="1">
                  <c:v>819.87</c:v>
                </c:pt>
                <c:pt idx="2">
                  <c:v>848.21</c:v>
                </c:pt>
                <c:pt idx="3">
                  <c:v>843.44</c:v>
                </c:pt>
                <c:pt idx="4">
                  <c:v>851.84</c:v>
                </c:pt>
                <c:pt idx="5">
                  <c:v>880.91</c:v>
                </c:pt>
                <c:pt idx="6">
                  <c:v>1021.25</c:v>
                </c:pt>
                <c:pt idx="7">
                  <c:v>1325.83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(résultats!$J$14,résultats!$J$28,résultats!$J$42,résultats!$J$56,résultats!$J$70,résultats!$J$84,résultats!$J$98,résultats!$J$112,résultats!$J$126)</c:f>
              <c:numCache>
                <c:formatCode>0.00</c:formatCode>
                <c:ptCount val="9"/>
                <c:pt idx="0">
                  <c:v>777.39</c:v>
                </c:pt>
                <c:pt idx="1">
                  <c:v>800.03</c:v>
                </c:pt>
                <c:pt idx="2">
                  <c:v>810.78</c:v>
                </c:pt>
                <c:pt idx="3">
                  <c:v>825.51</c:v>
                </c:pt>
                <c:pt idx="4">
                  <c:v>835.29</c:v>
                </c:pt>
                <c:pt idx="5">
                  <c:v>856.2</c:v>
                </c:pt>
                <c:pt idx="6">
                  <c:v>872.39</c:v>
                </c:pt>
                <c:pt idx="7">
                  <c:v>926.38</c:v>
                </c:pt>
                <c:pt idx="8">
                  <c:v>1083.3599999999999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(résultats!$J$29,résultats!$J$43,résultats!$J$57,résultats!$J$71,résultats!$J$85,résultats!$J$99,résultats!$J$113,résultats!$J$127,résultats!$J$141)</c:f>
              <c:numCache>
                <c:formatCode>0.00</c:formatCode>
                <c:ptCount val="9"/>
                <c:pt idx="0">
                  <c:v>835.93</c:v>
                </c:pt>
                <c:pt idx="1">
                  <c:v>841.82</c:v>
                </c:pt>
                <c:pt idx="2">
                  <c:v>850.56</c:v>
                </c:pt>
                <c:pt idx="3">
                  <c:v>864.13</c:v>
                </c:pt>
                <c:pt idx="4">
                  <c:v>855.43</c:v>
                </c:pt>
                <c:pt idx="5">
                  <c:v>867.41</c:v>
                </c:pt>
                <c:pt idx="6">
                  <c:v>912.1</c:v>
                </c:pt>
                <c:pt idx="7">
                  <c:v>849.95</c:v>
                </c:pt>
                <c:pt idx="8">
                  <c:v>1416.02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(résultats!$J$16,résultats!$J$30,résultats!$J$44,résultats!$J$58,résultats!$J$72,résultats!$J$86,résultats!$J$100,résultats!$J$114)</c:f>
              <c:numCache>
                <c:formatCode>0.00</c:formatCode>
                <c:ptCount val="8"/>
                <c:pt idx="0">
                  <c:v>814.15</c:v>
                </c:pt>
                <c:pt idx="1">
                  <c:v>822.88</c:v>
                </c:pt>
                <c:pt idx="2">
                  <c:v>833.94</c:v>
                </c:pt>
                <c:pt idx="3">
                  <c:v>843.86</c:v>
                </c:pt>
                <c:pt idx="4">
                  <c:v>860.78</c:v>
                </c:pt>
                <c:pt idx="5">
                  <c:v>921.33</c:v>
                </c:pt>
                <c:pt idx="6">
                  <c:v>1055.01</c:v>
                </c:pt>
                <c:pt idx="7">
                  <c:v>1409.99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(résultats!$J$17,résultats!$J$31,résultats!$J$45,résultats!$J$59,résultats!$J$73,résultats!$J$87)</c:f>
              <c:numCache>
                <c:formatCode>0.00</c:formatCode>
                <c:ptCount val="6"/>
                <c:pt idx="0">
                  <c:v>736.61</c:v>
                </c:pt>
                <c:pt idx="1">
                  <c:v>765.25</c:v>
                </c:pt>
                <c:pt idx="2">
                  <c:v>784.94</c:v>
                </c:pt>
                <c:pt idx="3">
                  <c:v>824.25</c:v>
                </c:pt>
                <c:pt idx="4">
                  <c:v>859.93</c:v>
                </c:pt>
                <c:pt idx="5">
                  <c:v>890.76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(résultats!$J$18,résultats!$J$32,résultats!$J$46,résultats!$J$60,résultats!$J$74,résultats!$J$88)</c:f>
              <c:numCache>
                <c:formatCode>0.00</c:formatCode>
                <c:ptCount val="6"/>
                <c:pt idx="0">
                  <c:v>831.14</c:v>
                </c:pt>
                <c:pt idx="1">
                  <c:v>851.67</c:v>
                </c:pt>
                <c:pt idx="2">
                  <c:v>848.02</c:v>
                </c:pt>
                <c:pt idx="3">
                  <c:v>890.74</c:v>
                </c:pt>
                <c:pt idx="4">
                  <c:v>922.23</c:v>
                </c:pt>
                <c:pt idx="5">
                  <c:v>1407.26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(résultats!$J$19,résultats!$J$33,résultats!$J$47,résultats!$J$61,résultats!$J$75,résultats!$J$89,résultats!$J$103,résultats!$J$117,résultats!$J$131)</c:f>
              <c:numCache>
                <c:formatCode>0.00</c:formatCode>
                <c:ptCount val="9"/>
                <c:pt idx="0">
                  <c:v>798.92</c:v>
                </c:pt>
                <c:pt idx="1">
                  <c:v>822.11</c:v>
                </c:pt>
                <c:pt idx="2">
                  <c:v>827.63</c:v>
                </c:pt>
                <c:pt idx="3">
                  <c:v>836.03</c:v>
                </c:pt>
                <c:pt idx="4">
                  <c:v>848.96</c:v>
                </c:pt>
                <c:pt idx="5">
                  <c:v>947.17</c:v>
                </c:pt>
                <c:pt idx="6">
                  <c:v>967.92</c:v>
                </c:pt>
                <c:pt idx="7">
                  <c:v>1004.67</c:v>
                </c:pt>
                <c:pt idx="8">
                  <c:v>1194.33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(résultats!$J$20,résultats!$J$34,résultats!$J$48,résultats!$J$62,résultats!$J$76,résultats!$J$90,résultats!$J$104,résultats!$J$118,résultats!$J$132,résultats!$J$146)</c:f>
              <c:numCache>
                <c:formatCode>0.00</c:formatCode>
                <c:ptCount val="10"/>
                <c:pt idx="0">
                  <c:v>824.52</c:v>
                </c:pt>
                <c:pt idx="1">
                  <c:v>846.95</c:v>
                </c:pt>
                <c:pt idx="2">
                  <c:v>847.6</c:v>
                </c:pt>
                <c:pt idx="3">
                  <c:v>852.5</c:v>
                </c:pt>
                <c:pt idx="4">
                  <c:v>859.62</c:v>
                </c:pt>
                <c:pt idx="5">
                  <c:v>938.77</c:v>
                </c:pt>
                <c:pt idx="6">
                  <c:v>912.94</c:v>
                </c:pt>
                <c:pt idx="7">
                  <c:v>961.92</c:v>
                </c:pt>
                <c:pt idx="8">
                  <c:v>1035.54</c:v>
                </c:pt>
                <c:pt idx="9">
                  <c:v>1039.58</c:v>
                </c:pt>
              </c:numCache>
            </c:numRef>
          </c:yVal>
        </c:ser>
        <c:axId val="119345920"/>
        <c:axId val="119347456"/>
      </c:scatterChart>
      <c:valAx>
        <c:axId val="119345920"/>
        <c:scaling>
          <c:orientation val="minMax"/>
        </c:scaling>
        <c:axPos val="b"/>
        <c:numFmt formatCode="General" sourceLinked="1"/>
        <c:tickLblPos val="nextTo"/>
        <c:crossAx val="119347456"/>
        <c:crosses val="autoZero"/>
        <c:crossBetween val="midCat"/>
      </c:valAx>
      <c:valAx>
        <c:axId val="119347456"/>
        <c:scaling>
          <c:orientation val="minMax"/>
          <c:min val="600"/>
        </c:scaling>
        <c:axPos val="l"/>
        <c:majorGridlines/>
        <c:numFmt formatCode="0.00" sourceLinked="1"/>
        <c:tickLblPos val="nextTo"/>
        <c:crossAx val="11934592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5419257196774256"/>
          <c:y val="1.2051251470884738E-2"/>
          <c:w val="0.13245614806265271"/>
          <c:h val="0.97692885840545063"/>
        </c:manualLayout>
      </c:layout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5298879743820268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(résultats!$I$7,résultats!$I$21,résultats!$I$35,résultats!$I$49,résultats!$I$63,résultats!$I$77,résultats!$I$91,résultats!$I$105,résultats!$I$119,résultats!$I$133)</c:f>
              <c:numCache>
                <c:formatCode>0.00</c:formatCode>
                <c:ptCount val="10"/>
                <c:pt idx="0">
                  <c:v>474.83</c:v>
                </c:pt>
                <c:pt idx="1">
                  <c:v>504.31</c:v>
                </c:pt>
                <c:pt idx="2">
                  <c:v>479.64</c:v>
                </c:pt>
                <c:pt idx="3">
                  <c:v>508.83</c:v>
                </c:pt>
                <c:pt idx="4">
                  <c:v>520.04999999999995</c:v>
                </c:pt>
                <c:pt idx="5">
                  <c:v>533.28</c:v>
                </c:pt>
                <c:pt idx="6">
                  <c:v>548.04</c:v>
                </c:pt>
                <c:pt idx="7">
                  <c:v>561.51</c:v>
                </c:pt>
                <c:pt idx="8">
                  <c:v>656.86</c:v>
                </c:pt>
                <c:pt idx="9">
                  <c:v>742.37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(résultats!$I$8,résultats!$I$22,résultats!$I$36,résultats!$I$50,résultats!$I$64,résultats!$I$78,résultats!$I$92,résultats!$I$106,résultats!$I$134)</c:f>
              <c:numCache>
                <c:formatCode>0.00</c:formatCode>
                <c:ptCount val="9"/>
                <c:pt idx="0">
                  <c:v>489.52</c:v>
                </c:pt>
                <c:pt idx="1">
                  <c:v>508.65</c:v>
                </c:pt>
                <c:pt idx="2">
                  <c:v>513.44000000000005</c:v>
                </c:pt>
                <c:pt idx="3">
                  <c:v>522.33000000000004</c:v>
                </c:pt>
                <c:pt idx="4">
                  <c:v>537.20000000000005</c:v>
                </c:pt>
                <c:pt idx="5">
                  <c:v>549.19000000000005</c:v>
                </c:pt>
                <c:pt idx="6">
                  <c:v>561.41999999999996</c:v>
                </c:pt>
                <c:pt idx="7">
                  <c:v>574.96</c:v>
                </c:pt>
                <c:pt idx="8">
                  <c:v>640.13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(résultats!$I$9,résultats!$I$23,résultats!$I$37,résultats!$I$51,résultats!$I$65,résultats!$I$79,résultats!$I$93,résultats!$I$107,résultats!$I$121,résultats!$I$135,résultats!$I$149)</c:f>
              <c:numCache>
                <c:formatCode>0.00</c:formatCode>
                <c:ptCount val="11"/>
                <c:pt idx="0">
                  <c:v>467.01</c:v>
                </c:pt>
                <c:pt idx="1">
                  <c:v>473.47</c:v>
                </c:pt>
                <c:pt idx="2">
                  <c:v>471.17</c:v>
                </c:pt>
                <c:pt idx="3">
                  <c:v>478.63</c:v>
                </c:pt>
                <c:pt idx="4">
                  <c:v>484.97</c:v>
                </c:pt>
                <c:pt idx="5">
                  <c:v>490.53</c:v>
                </c:pt>
                <c:pt idx="6">
                  <c:v>501</c:v>
                </c:pt>
                <c:pt idx="7">
                  <c:v>515.39</c:v>
                </c:pt>
                <c:pt idx="8">
                  <c:v>512.30999999999995</c:v>
                </c:pt>
                <c:pt idx="9">
                  <c:v>557.97</c:v>
                </c:pt>
                <c:pt idx="10">
                  <c:v>665.37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(résultats!$I$24,résultats!$I$38,résultats!$I$52,résultats!$I$66,résultats!$I$80,résultats!$I$94,résultats!$I$108,résultats!$I$122,résultats!$I$136,résultats!$I$150)</c:f>
              <c:numCache>
                <c:formatCode>0.00</c:formatCode>
                <c:ptCount val="10"/>
                <c:pt idx="0">
                  <c:v>473.02</c:v>
                </c:pt>
                <c:pt idx="1">
                  <c:v>475.2</c:v>
                </c:pt>
                <c:pt idx="2">
                  <c:v>485.61</c:v>
                </c:pt>
                <c:pt idx="3">
                  <c:v>495.34</c:v>
                </c:pt>
                <c:pt idx="4">
                  <c:v>500.12</c:v>
                </c:pt>
                <c:pt idx="5">
                  <c:v>500.01</c:v>
                </c:pt>
                <c:pt idx="6">
                  <c:v>592.22</c:v>
                </c:pt>
                <c:pt idx="7">
                  <c:v>552.87</c:v>
                </c:pt>
                <c:pt idx="8">
                  <c:v>615.80999999999995</c:v>
                </c:pt>
                <c:pt idx="9">
                  <c:v>704.71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(résultats!$I$11,résultats!$I$25,résultats!$I$39,résultats!$I$53,résultats!$I$67,résultats!$I$81,résultats!$I$95)</c:f>
              <c:numCache>
                <c:formatCode>0.00</c:formatCode>
                <c:ptCount val="7"/>
                <c:pt idx="0">
                  <c:v>483.75</c:v>
                </c:pt>
                <c:pt idx="1">
                  <c:v>502.39</c:v>
                </c:pt>
                <c:pt idx="2">
                  <c:v>497.74</c:v>
                </c:pt>
                <c:pt idx="3">
                  <c:v>529.5</c:v>
                </c:pt>
                <c:pt idx="4">
                  <c:v>542.45000000000005</c:v>
                </c:pt>
                <c:pt idx="5">
                  <c:v>560.24</c:v>
                </c:pt>
                <c:pt idx="6">
                  <c:v>626.13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(résultats!$I$12,résultats!$I$26,résultats!$I$40,résultats!$I$54,résultats!$I$68,résultats!$I$82,résultats!$I$96,résultats!$I$110,résultats!$I$124)</c:f>
              <c:numCache>
                <c:formatCode>0.00</c:formatCode>
                <c:ptCount val="9"/>
                <c:pt idx="0">
                  <c:v>465.62</c:v>
                </c:pt>
                <c:pt idx="1">
                  <c:v>520.42999999999995</c:v>
                </c:pt>
                <c:pt idx="2">
                  <c:v>525.29</c:v>
                </c:pt>
                <c:pt idx="3">
                  <c:v>535.01</c:v>
                </c:pt>
                <c:pt idx="4">
                  <c:v>540.74</c:v>
                </c:pt>
                <c:pt idx="5">
                  <c:v>605.01</c:v>
                </c:pt>
                <c:pt idx="6">
                  <c:v>584.22</c:v>
                </c:pt>
                <c:pt idx="7">
                  <c:v>634.79999999999995</c:v>
                </c:pt>
                <c:pt idx="8">
                  <c:v>801.94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(résultats!$I$13,résultats!$I$27,résultats!$I$41,résultats!$I$55,résultats!$I$69,résultats!$I$83,résultats!$I$97,résultats!$I$111)</c:f>
              <c:numCache>
                <c:formatCode>0.00</c:formatCode>
                <c:ptCount val="8"/>
                <c:pt idx="0">
                  <c:v>496.29</c:v>
                </c:pt>
                <c:pt idx="1">
                  <c:v>507.56</c:v>
                </c:pt>
                <c:pt idx="2">
                  <c:v>529.41</c:v>
                </c:pt>
                <c:pt idx="3">
                  <c:v>528.38</c:v>
                </c:pt>
                <c:pt idx="4">
                  <c:v>539.39</c:v>
                </c:pt>
                <c:pt idx="5">
                  <c:v>567.58000000000004</c:v>
                </c:pt>
                <c:pt idx="6">
                  <c:v>656.12</c:v>
                </c:pt>
                <c:pt idx="7">
                  <c:v>882.07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(résultats!$I$14,résultats!$I$28,résultats!$I$42,résultats!$I$56,résultats!$I$70,résultats!$I$84,résultats!$I$98,résultats!$I$112,résultats!$I$126)</c:f>
              <c:numCache>
                <c:formatCode>0.00</c:formatCode>
                <c:ptCount val="9"/>
                <c:pt idx="0">
                  <c:v>478.98</c:v>
                </c:pt>
                <c:pt idx="1">
                  <c:v>503.46</c:v>
                </c:pt>
                <c:pt idx="2">
                  <c:v>498.66</c:v>
                </c:pt>
                <c:pt idx="3">
                  <c:v>520.30999999999995</c:v>
                </c:pt>
                <c:pt idx="4">
                  <c:v>534.11</c:v>
                </c:pt>
                <c:pt idx="5">
                  <c:v>546.07000000000005</c:v>
                </c:pt>
                <c:pt idx="6">
                  <c:v>563.07000000000005</c:v>
                </c:pt>
                <c:pt idx="7">
                  <c:v>595.11</c:v>
                </c:pt>
                <c:pt idx="8">
                  <c:v>696.4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(résultats!$I$29,résultats!$I$43,résultats!$I$57,résultats!$I$71,résultats!$I$85,résultats!$I$99,résultats!$I$113,résultats!$I$127,résultats!$I$141)</c:f>
              <c:numCache>
                <c:formatCode>0.00</c:formatCode>
                <c:ptCount val="9"/>
                <c:pt idx="0">
                  <c:v>516.9</c:v>
                </c:pt>
                <c:pt idx="1">
                  <c:v>520.23</c:v>
                </c:pt>
                <c:pt idx="2">
                  <c:v>531.57000000000005</c:v>
                </c:pt>
                <c:pt idx="3">
                  <c:v>538.83000000000004</c:v>
                </c:pt>
                <c:pt idx="4">
                  <c:v>542.09</c:v>
                </c:pt>
                <c:pt idx="5">
                  <c:v>550.42999999999995</c:v>
                </c:pt>
                <c:pt idx="6">
                  <c:v>562.75</c:v>
                </c:pt>
                <c:pt idx="7">
                  <c:v>575.22</c:v>
                </c:pt>
                <c:pt idx="8">
                  <c:v>925.51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(résultats!$I$16,résultats!$I$30,résultats!$I$44,résultats!$I$58,résultats!$I$72,résultats!$I$86,résultats!$I$100,résultats!$I$114)</c:f>
              <c:numCache>
                <c:formatCode>0.00</c:formatCode>
                <c:ptCount val="8"/>
                <c:pt idx="0">
                  <c:v>499</c:v>
                </c:pt>
                <c:pt idx="1">
                  <c:v>521.03</c:v>
                </c:pt>
                <c:pt idx="2">
                  <c:v>529.94000000000005</c:v>
                </c:pt>
                <c:pt idx="3">
                  <c:v>537.94000000000005</c:v>
                </c:pt>
                <c:pt idx="4">
                  <c:v>553.44000000000005</c:v>
                </c:pt>
                <c:pt idx="5">
                  <c:v>573.58000000000004</c:v>
                </c:pt>
                <c:pt idx="6">
                  <c:v>685.55</c:v>
                </c:pt>
                <c:pt idx="7">
                  <c:v>758.31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(résultats!$I$17,résultats!$I$31,résultats!$I$45,résultats!$I$59,résultats!$I$73,résultats!$I$87)</c:f>
              <c:numCache>
                <c:formatCode>0.00</c:formatCode>
                <c:ptCount val="6"/>
                <c:pt idx="0">
                  <c:v>455.13</c:v>
                </c:pt>
                <c:pt idx="1">
                  <c:v>480.32</c:v>
                </c:pt>
                <c:pt idx="2">
                  <c:v>496.17</c:v>
                </c:pt>
                <c:pt idx="3">
                  <c:v>526.49</c:v>
                </c:pt>
                <c:pt idx="4">
                  <c:v>563.22</c:v>
                </c:pt>
                <c:pt idx="5">
                  <c:v>598.27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(résultats!$I$18,résultats!$I$32,résultats!$I$46,résultats!$I$60,résultats!$I$74,résultats!$I$88)</c:f>
              <c:numCache>
                <c:formatCode>0.00</c:formatCode>
                <c:ptCount val="6"/>
                <c:pt idx="0">
                  <c:v>506.08</c:v>
                </c:pt>
                <c:pt idx="1">
                  <c:v>533.21</c:v>
                </c:pt>
                <c:pt idx="2">
                  <c:v>541.39</c:v>
                </c:pt>
                <c:pt idx="3">
                  <c:v>572.80999999999995</c:v>
                </c:pt>
                <c:pt idx="4">
                  <c:v>599.04999999999995</c:v>
                </c:pt>
                <c:pt idx="5">
                  <c:v>938.57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(résultats!$I$19,résultats!$I$33,résultats!$I$47,résultats!$I$61,résultats!$I$75,résultats!$I$89,résultats!$I$103,résultats!$I$117,résultats!$I$131)</c:f>
              <c:numCache>
                <c:formatCode>0.00</c:formatCode>
                <c:ptCount val="9"/>
                <c:pt idx="0">
                  <c:v>487.71</c:v>
                </c:pt>
                <c:pt idx="1">
                  <c:v>513.03</c:v>
                </c:pt>
                <c:pt idx="2">
                  <c:v>515.30999999999995</c:v>
                </c:pt>
                <c:pt idx="3">
                  <c:v>526.1</c:v>
                </c:pt>
                <c:pt idx="4">
                  <c:v>533.9</c:v>
                </c:pt>
                <c:pt idx="5">
                  <c:v>590.48</c:v>
                </c:pt>
                <c:pt idx="6">
                  <c:v>584.39</c:v>
                </c:pt>
                <c:pt idx="7">
                  <c:v>608.04999999999995</c:v>
                </c:pt>
                <c:pt idx="8">
                  <c:v>782.4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(résultats!$I$20,résultats!$I$34,résultats!$I$48,résultats!$I$62,résultats!$I$76,résultats!$I$90,résultats!$I$104,résultats!$I$118,résultats!$I$132,résultats!$I$146)</c:f>
              <c:numCache>
                <c:formatCode>0.00</c:formatCode>
                <c:ptCount val="10"/>
                <c:pt idx="0">
                  <c:v>503.02</c:v>
                </c:pt>
                <c:pt idx="1">
                  <c:v>523.61</c:v>
                </c:pt>
                <c:pt idx="2">
                  <c:v>527.63</c:v>
                </c:pt>
                <c:pt idx="3">
                  <c:v>531.11</c:v>
                </c:pt>
                <c:pt idx="4">
                  <c:v>538.89</c:v>
                </c:pt>
                <c:pt idx="5">
                  <c:v>579.88</c:v>
                </c:pt>
                <c:pt idx="6">
                  <c:v>551.05999999999995</c:v>
                </c:pt>
                <c:pt idx="7">
                  <c:v>579.32000000000005</c:v>
                </c:pt>
                <c:pt idx="8">
                  <c:v>672.95</c:v>
                </c:pt>
                <c:pt idx="9">
                  <c:v>370.76</c:v>
                </c:pt>
              </c:numCache>
            </c:numRef>
          </c:yVal>
        </c:ser>
        <c:axId val="119509760"/>
        <c:axId val="119511296"/>
      </c:scatterChart>
      <c:valAx>
        <c:axId val="119509760"/>
        <c:scaling>
          <c:orientation val="minMax"/>
        </c:scaling>
        <c:axPos val="b"/>
        <c:numFmt formatCode="General" sourceLinked="1"/>
        <c:tickLblPos val="nextTo"/>
        <c:crossAx val="119511296"/>
        <c:crosses val="autoZero"/>
        <c:crossBetween val="midCat"/>
      </c:valAx>
      <c:valAx>
        <c:axId val="119511296"/>
        <c:scaling>
          <c:orientation val="minMax"/>
          <c:min val="400"/>
        </c:scaling>
        <c:axPos val="l"/>
        <c:majorGridlines/>
        <c:numFmt formatCode="0.00" sourceLinked="1"/>
        <c:tickLblPos val="nextTo"/>
        <c:crossAx val="11950976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5419257196774256"/>
          <c:y val="1.2051251470884738E-2"/>
          <c:w val="0.13245614806265271"/>
          <c:h val="0.97692885840545085"/>
        </c:manualLayout>
      </c:layout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3471546056742965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(résultats!$P$7,résultats!$P$21,résultats!$P$35,résultats!$P$49,résultats!$P$63,résultats!$P$77,résultats!$P$91,résultats!$P$105,résultats!$P$119,résultats!$P$133)</c:f>
              <c:numCache>
                <c:formatCode>0.00</c:formatCode>
                <c:ptCount val="10"/>
                <c:pt idx="0">
                  <c:v>170.1</c:v>
                </c:pt>
                <c:pt idx="1">
                  <c:v>195.12</c:v>
                </c:pt>
                <c:pt idx="2">
                  <c:v>190.49</c:v>
                </c:pt>
                <c:pt idx="3">
                  <c:v>201.39</c:v>
                </c:pt>
                <c:pt idx="4">
                  <c:v>210.68</c:v>
                </c:pt>
                <c:pt idx="5">
                  <c:v>219</c:v>
                </c:pt>
                <c:pt idx="6">
                  <c:v>226.85</c:v>
                </c:pt>
                <c:pt idx="7">
                  <c:v>236.98</c:v>
                </c:pt>
                <c:pt idx="8">
                  <c:v>319.72000000000003</c:v>
                </c:pt>
                <c:pt idx="9">
                  <c:v>402.3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(résultats!$P$8,résultats!$P$22,résultats!$P$36,résultats!$P$50,résultats!$P$64,résultats!$P$78,résultats!$P$92,résultats!$P$106,résultats!$P$134)</c:f>
              <c:numCache>
                <c:formatCode>0.00</c:formatCode>
                <c:ptCount val="9"/>
                <c:pt idx="0">
                  <c:v>190.25</c:v>
                </c:pt>
                <c:pt idx="1">
                  <c:v>200.43</c:v>
                </c:pt>
                <c:pt idx="2">
                  <c:v>215.28</c:v>
                </c:pt>
                <c:pt idx="3">
                  <c:v>217.62</c:v>
                </c:pt>
                <c:pt idx="4">
                  <c:v>229.66</c:v>
                </c:pt>
                <c:pt idx="5">
                  <c:v>230.72</c:v>
                </c:pt>
                <c:pt idx="6">
                  <c:v>239.51</c:v>
                </c:pt>
                <c:pt idx="7">
                  <c:v>263.22000000000003</c:v>
                </c:pt>
                <c:pt idx="8">
                  <c:v>310.07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(résultats!$P$9,résultats!$P$23,résultats!$P$37,résultats!$P$51,résultats!$P$65,résultats!$P$79,résultats!$P$93,résultats!$P$107,résultats!$P$121,résultats!$P$135,résultats!$P$149)</c:f>
              <c:numCache>
                <c:formatCode>0.00</c:formatCode>
                <c:ptCount val="11"/>
                <c:pt idx="0">
                  <c:v>155.15</c:v>
                </c:pt>
                <c:pt idx="1">
                  <c:v>173.21</c:v>
                </c:pt>
                <c:pt idx="2">
                  <c:v>166.96</c:v>
                </c:pt>
                <c:pt idx="3">
                  <c:v>173.47</c:v>
                </c:pt>
                <c:pt idx="4">
                  <c:v>179.39</c:v>
                </c:pt>
                <c:pt idx="5">
                  <c:v>182.54</c:v>
                </c:pt>
                <c:pt idx="6">
                  <c:v>190.89</c:v>
                </c:pt>
                <c:pt idx="7">
                  <c:v>201.54</c:v>
                </c:pt>
                <c:pt idx="8">
                  <c:v>219.67</c:v>
                </c:pt>
                <c:pt idx="9">
                  <c:v>243.43</c:v>
                </c:pt>
                <c:pt idx="10">
                  <c:v>329.8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(résultats!$P$24,résultats!$P$38,résultats!$P$52,résultats!$P$66,résultats!$P$80,résultats!$P$94,résultats!$P$108,résultats!$P$122,résultats!$P$136,résultats!$P$150)</c:f>
              <c:numCache>
                <c:formatCode>0.00</c:formatCode>
                <c:ptCount val="10"/>
                <c:pt idx="0">
                  <c:v>197.31</c:v>
                </c:pt>
                <c:pt idx="1">
                  <c:v>204.32</c:v>
                </c:pt>
                <c:pt idx="2">
                  <c:v>175.86</c:v>
                </c:pt>
                <c:pt idx="3">
                  <c:v>185.4</c:v>
                </c:pt>
                <c:pt idx="4">
                  <c:v>190.06</c:v>
                </c:pt>
                <c:pt idx="5">
                  <c:v>194.76</c:v>
                </c:pt>
                <c:pt idx="6">
                  <c:v>196.61</c:v>
                </c:pt>
                <c:pt idx="7">
                  <c:v>237.3</c:v>
                </c:pt>
                <c:pt idx="8">
                  <c:v>297.35000000000002</c:v>
                </c:pt>
                <c:pt idx="9">
                  <c:v>228.89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(résultats!$P$11,résultats!$P$25,résultats!$P$39,résultats!$P$53,résultats!$P$67,résultats!$P$81,résultats!$P$95)</c:f>
              <c:numCache>
                <c:formatCode>0.00</c:formatCode>
                <c:ptCount val="7"/>
                <c:pt idx="0">
                  <c:v>179.27</c:v>
                </c:pt>
                <c:pt idx="1">
                  <c:v>194.85</c:v>
                </c:pt>
                <c:pt idx="2">
                  <c:v>195.17</c:v>
                </c:pt>
                <c:pt idx="3">
                  <c:v>201.55</c:v>
                </c:pt>
                <c:pt idx="4">
                  <c:v>237.25</c:v>
                </c:pt>
                <c:pt idx="5">
                  <c:v>289.41000000000003</c:v>
                </c:pt>
                <c:pt idx="6">
                  <c:v>292.22000000000003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(résultats!$P$12,résultats!$P$26,résultats!$P$40,résultats!$P$54,résultats!$P$68,résultats!$P$82,résultats!$P$96,résultats!$P$110,résultats!$P$124)</c:f>
              <c:numCache>
                <c:formatCode>0.00</c:formatCode>
                <c:ptCount val="9"/>
                <c:pt idx="0">
                  <c:v>195.28</c:v>
                </c:pt>
                <c:pt idx="1">
                  <c:v>206.84</c:v>
                </c:pt>
                <c:pt idx="2">
                  <c:v>207.92</c:v>
                </c:pt>
                <c:pt idx="3">
                  <c:v>218.23</c:v>
                </c:pt>
                <c:pt idx="4">
                  <c:v>219.26</c:v>
                </c:pt>
                <c:pt idx="5">
                  <c:v>228.74</c:v>
                </c:pt>
                <c:pt idx="6">
                  <c:v>256.58</c:v>
                </c:pt>
                <c:pt idx="7">
                  <c:v>282.14</c:v>
                </c:pt>
                <c:pt idx="8">
                  <c:v>429.4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(résultats!$P$13,résultats!$P$27,résultats!$P$41,résultats!$P$55,résultats!$P$69,résultats!$P$83,résultats!$P$97,résultats!$P$111)</c:f>
              <c:numCache>
                <c:formatCode>0.00</c:formatCode>
                <c:ptCount val="8"/>
                <c:pt idx="0">
                  <c:v>189.71</c:v>
                </c:pt>
                <c:pt idx="1">
                  <c:v>210.89</c:v>
                </c:pt>
                <c:pt idx="2">
                  <c:v>207.52</c:v>
                </c:pt>
                <c:pt idx="3">
                  <c:v>219.28</c:v>
                </c:pt>
                <c:pt idx="4">
                  <c:v>222.42</c:v>
                </c:pt>
                <c:pt idx="5">
                  <c:v>241.27</c:v>
                </c:pt>
                <c:pt idx="6">
                  <c:v>318.7</c:v>
                </c:pt>
                <c:pt idx="7">
                  <c:v>505.91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(résultats!$P$14,résultats!$P$28,résultats!$P$42,résultats!$P$56,résultats!$P$70,résultats!$P$84,résultats!$P$98,résultats!$P$112,résultats!$P$126)</c:f>
              <c:numCache>
                <c:formatCode>0.00</c:formatCode>
                <c:ptCount val="9"/>
                <c:pt idx="0">
                  <c:v>178.66</c:v>
                </c:pt>
                <c:pt idx="1">
                  <c:v>205.88</c:v>
                </c:pt>
                <c:pt idx="2">
                  <c:v>206.79</c:v>
                </c:pt>
                <c:pt idx="3">
                  <c:v>202.64</c:v>
                </c:pt>
                <c:pt idx="4">
                  <c:v>214.72</c:v>
                </c:pt>
                <c:pt idx="5">
                  <c:v>226.83</c:v>
                </c:pt>
                <c:pt idx="6">
                  <c:v>238.01</c:v>
                </c:pt>
                <c:pt idx="7">
                  <c:v>283.19</c:v>
                </c:pt>
                <c:pt idx="8">
                  <c:v>355.61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(résultats!$P$29,résultats!$P$43,résultats!$P$57,résultats!$P$71,résultats!$P$85,résultats!$P$99,résultats!$P$113,résultats!$P$127,résultats!$P$141)</c:f>
              <c:numCache>
                <c:formatCode>0.00</c:formatCode>
                <c:ptCount val="9"/>
                <c:pt idx="0">
                  <c:v>210.52</c:v>
                </c:pt>
                <c:pt idx="1">
                  <c:v>211.27</c:v>
                </c:pt>
                <c:pt idx="2">
                  <c:v>217.17</c:v>
                </c:pt>
                <c:pt idx="3">
                  <c:v>222.66</c:v>
                </c:pt>
                <c:pt idx="4">
                  <c:v>215.71</c:v>
                </c:pt>
                <c:pt idx="5">
                  <c:v>235.23</c:v>
                </c:pt>
                <c:pt idx="6">
                  <c:v>261.58</c:v>
                </c:pt>
                <c:pt idx="7">
                  <c:v>348.53</c:v>
                </c:pt>
                <c:pt idx="8">
                  <c:v>551.86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(résultats!$P$16,résultats!$P$30,résultats!$P$44,résultats!$P$58,résultats!$P$72,résultats!$P$86,résultats!$P$100,résultats!$P$114)</c:f>
              <c:numCache>
                <c:formatCode>0.00</c:formatCode>
                <c:ptCount val="8"/>
                <c:pt idx="0">
                  <c:v>196.65</c:v>
                </c:pt>
                <c:pt idx="1">
                  <c:v>214.33</c:v>
                </c:pt>
                <c:pt idx="2">
                  <c:v>219.73</c:v>
                </c:pt>
                <c:pt idx="3">
                  <c:v>222.03</c:v>
                </c:pt>
                <c:pt idx="4">
                  <c:v>235.41</c:v>
                </c:pt>
                <c:pt idx="5">
                  <c:v>257.29000000000002</c:v>
                </c:pt>
                <c:pt idx="6">
                  <c:v>350.79</c:v>
                </c:pt>
                <c:pt idx="7">
                  <c:v>569.83000000000004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(résultats!$P$17,résultats!$P$31,résultats!$P$45,résultats!$P$59,résultats!$P$73,résultats!$P$87)</c:f>
              <c:numCache>
                <c:formatCode>0.00</c:formatCode>
                <c:ptCount val="6"/>
                <c:pt idx="0">
                  <c:v>162.84</c:v>
                </c:pt>
                <c:pt idx="1">
                  <c:v>184.64</c:v>
                </c:pt>
                <c:pt idx="2">
                  <c:v>194.32</c:v>
                </c:pt>
                <c:pt idx="3">
                  <c:v>216.01</c:v>
                </c:pt>
                <c:pt idx="4">
                  <c:v>242.88</c:v>
                </c:pt>
                <c:pt idx="5">
                  <c:v>275.54000000000002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(résultats!$P$18,résultats!$P$32,résultats!$P$46,résultats!$P$60,résultats!$P$74,résultats!$P$88)</c:f>
              <c:numCache>
                <c:formatCode>0.00</c:formatCode>
                <c:ptCount val="6"/>
                <c:pt idx="0">
                  <c:v>189.03</c:v>
                </c:pt>
                <c:pt idx="1">
                  <c:v>212.43</c:v>
                </c:pt>
                <c:pt idx="2">
                  <c:v>212.84</c:v>
                </c:pt>
                <c:pt idx="3">
                  <c:v>240.91</c:v>
                </c:pt>
                <c:pt idx="4">
                  <c:v>257.36</c:v>
                </c:pt>
                <c:pt idx="5">
                  <c:v>560.44000000000005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(résultats!$P$19,résultats!$P$33,résultats!$P$47,résultats!$P$61,résultats!$P$75,résultats!$P$89,résultats!$P$103,résultats!$P$117,résultats!$P$131)</c:f>
              <c:numCache>
                <c:formatCode>0.00</c:formatCode>
                <c:ptCount val="9"/>
                <c:pt idx="0">
                  <c:v>174.75</c:v>
                </c:pt>
                <c:pt idx="1">
                  <c:v>195.23</c:v>
                </c:pt>
                <c:pt idx="2">
                  <c:v>196.77</c:v>
                </c:pt>
                <c:pt idx="3">
                  <c:v>202.03</c:v>
                </c:pt>
                <c:pt idx="4">
                  <c:v>210.6</c:v>
                </c:pt>
                <c:pt idx="5">
                  <c:v>229.38</c:v>
                </c:pt>
                <c:pt idx="6">
                  <c:v>263.58</c:v>
                </c:pt>
                <c:pt idx="7">
                  <c:v>305.45999999999998</c:v>
                </c:pt>
                <c:pt idx="8">
                  <c:v>402.83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(résultats!$P$20,résultats!$P$34,résultats!$P$48,résultats!$P$62,résultats!$P$76,résultats!$P$90,résultats!$P$104,résultats!$P$118,résultats!$P$132,résultats!$P$146)</c:f>
              <c:numCache>
                <c:formatCode>0.00</c:formatCode>
                <c:ptCount val="10"/>
                <c:pt idx="0">
                  <c:v>180.86</c:v>
                </c:pt>
                <c:pt idx="1">
                  <c:v>199.81</c:v>
                </c:pt>
                <c:pt idx="2" formatCode="General">
                  <c:v>200.31</c:v>
                </c:pt>
                <c:pt idx="3">
                  <c:v>203.78</c:v>
                </c:pt>
                <c:pt idx="4">
                  <c:v>216.51</c:v>
                </c:pt>
                <c:pt idx="5">
                  <c:v>208.65</c:v>
                </c:pt>
                <c:pt idx="6">
                  <c:v>245.04</c:v>
                </c:pt>
                <c:pt idx="7">
                  <c:v>292.45</c:v>
                </c:pt>
                <c:pt idx="8">
                  <c:v>337.51</c:v>
                </c:pt>
                <c:pt idx="9">
                  <c:v>381.63</c:v>
                </c:pt>
              </c:numCache>
            </c:numRef>
          </c:yVal>
        </c:ser>
        <c:axId val="119565696"/>
        <c:axId val="119600256"/>
      </c:scatterChart>
      <c:valAx>
        <c:axId val="119565696"/>
        <c:scaling>
          <c:orientation val="minMax"/>
        </c:scaling>
        <c:axPos val="b"/>
        <c:numFmt formatCode="General" sourceLinked="1"/>
        <c:tickLblPos val="nextTo"/>
        <c:crossAx val="119600256"/>
        <c:crosses val="autoZero"/>
        <c:crossBetween val="midCat"/>
      </c:valAx>
      <c:valAx>
        <c:axId val="119600256"/>
        <c:scaling>
          <c:orientation val="minMax"/>
          <c:min val="150"/>
        </c:scaling>
        <c:axPos val="l"/>
        <c:majorGridlines/>
        <c:numFmt formatCode="0.00" sourceLinked="1"/>
        <c:tickLblPos val="nextTo"/>
        <c:crossAx val="119565696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3463887014123261"/>
          <c:y val="7.9557529357273966E-4"/>
          <c:w val="0.11830381202349705"/>
          <c:h val="0.81004640855879684"/>
        </c:manualLayout>
      </c:layout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3471546056742965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(résultats!$O$7,résultats!$O$21,résultats!$O$35,résultats!$O$49,résultats!$O$63,résultats!$O$77,résultats!$O$91,résultats!$O$105,résultats!$O$119,résultats!$O$133)</c:f>
              <c:numCache>
                <c:formatCode>0.00</c:formatCode>
                <c:ptCount val="10"/>
                <c:pt idx="0">
                  <c:v>126.88</c:v>
                </c:pt>
                <c:pt idx="1">
                  <c:v>150.54</c:v>
                </c:pt>
                <c:pt idx="2">
                  <c:v>147.29</c:v>
                </c:pt>
                <c:pt idx="3">
                  <c:v>157.65</c:v>
                </c:pt>
                <c:pt idx="4">
                  <c:v>164.91</c:v>
                </c:pt>
                <c:pt idx="5">
                  <c:v>174.2</c:v>
                </c:pt>
                <c:pt idx="6">
                  <c:v>182.85</c:v>
                </c:pt>
                <c:pt idx="7">
                  <c:v>194.06</c:v>
                </c:pt>
                <c:pt idx="8">
                  <c:v>249.68</c:v>
                </c:pt>
                <c:pt idx="9">
                  <c:v>304.33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(résultats!$O$8,résultats!$O$22,résultats!$O$36,résultats!$O$50,résultats!$O$64,résultats!$O$78,résultats!$O$92,résultats!$O$106)</c:f>
              <c:numCache>
                <c:formatCode>0.00</c:formatCode>
                <c:ptCount val="8"/>
                <c:pt idx="0">
                  <c:v>138.79</c:v>
                </c:pt>
                <c:pt idx="1">
                  <c:v>152.31</c:v>
                </c:pt>
                <c:pt idx="2">
                  <c:v>159.47</c:v>
                </c:pt>
                <c:pt idx="3">
                  <c:v>163.6</c:v>
                </c:pt>
                <c:pt idx="4">
                  <c:v>173.1</c:v>
                </c:pt>
                <c:pt idx="5">
                  <c:v>179.71</c:v>
                </c:pt>
                <c:pt idx="6">
                  <c:v>188.82</c:v>
                </c:pt>
                <c:pt idx="7">
                  <c:v>199.6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(résultats!$O$9,résultats!$O$23,résultats!$O$37,résultats!$O$51,résultats!$O$65,résultats!$O$79,résultats!$O$93,résultats!$O$107,résultats!$O$121,résultats!$O$135,résultats!$O$149)</c:f>
              <c:numCache>
                <c:formatCode>0.00</c:formatCode>
                <c:ptCount val="11"/>
                <c:pt idx="0">
                  <c:v>117.33</c:v>
                </c:pt>
                <c:pt idx="1">
                  <c:v>129.13</c:v>
                </c:pt>
                <c:pt idx="2">
                  <c:v>128.13</c:v>
                </c:pt>
                <c:pt idx="3">
                  <c:v>133.47</c:v>
                </c:pt>
                <c:pt idx="4">
                  <c:v>138.08000000000001</c:v>
                </c:pt>
                <c:pt idx="5">
                  <c:v>143.66</c:v>
                </c:pt>
                <c:pt idx="6">
                  <c:v>150.19999999999999</c:v>
                </c:pt>
                <c:pt idx="7">
                  <c:v>160.61000000000001</c:v>
                </c:pt>
                <c:pt idx="8">
                  <c:v>163.29</c:v>
                </c:pt>
                <c:pt idx="9">
                  <c:v>189.85</c:v>
                </c:pt>
                <c:pt idx="10">
                  <c:v>250.64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(résultats!$O$24,résultats!$O$38,résultats!$O$52,résultats!$O$66,résultats!$O$80,résultats!$O$94,résultats!$O$108,résultats!$O$122,résultats!$O$136,résultats!$O$150)</c:f>
              <c:numCache>
                <c:formatCode>0.00</c:formatCode>
                <c:ptCount val="10"/>
                <c:pt idx="0">
                  <c:v>123.72</c:v>
                </c:pt>
                <c:pt idx="1">
                  <c:v>128.88999999999999</c:v>
                </c:pt>
                <c:pt idx="2">
                  <c:v>134.08000000000001</c:v>
                </c:pt>
                <c:pt idx="3">
                  <c:v>141.13999999999999</c:v>
                </c:pt>
                <c:pt idx="4">
                  <c:v>145.53</c:v>
                </c:pt>
                <c:pt idx="5">
                  <c:v>147.62</c:v>
                </c:pt>
                <c:pt idx="6">
                  <c:v>160.49</c:v>
                </c:pt>
                <c:pt idx="7">
                  <c:v>173.37</c:v>
                </c:pt>
                <c:pt idx="8">
                  <c:v>209.66</c:v>
                </c:pt>
                <c:pt idx="9">
                  <c:v>162.28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(résultats!$O$11,résultats!$O$25,résultats!$O$39,résultats!$O$53,résultats!$O$67,résultats!$O$81,résultats!$O$95)</c:f>
              <c:numCache>
                <c:formatCode>0.00</c:formatCode>
                <c:ptCount val="7"/>
                <c:pt idx="0">
                  <c:v>136.59</c:v>
                </c:pt>
                <c:pt idx="1">
                  <c:v>151.27000000000001</c:v>
                </c:pt>
                <c:pt idx="2">
                  <c:v>149.97999999999999</c:v>
                </c:pt>
                <c:pt idx="3">
                  <c:v>161.09</c:v>
                </c:pt>
                <c:pt idx="4">
                  <c:v>176.49</c:v>
                </c:pt>
                <c:pt idx="5">
                  <c:v>188.35</c:v>
                </c:pt>
                <c:pt idx="6">
                  <c:v>224.64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(résultats!$O$12,résultats!$O$26,résultats!$O$40,résultats!$O$54,résultats!$O$68,résultats!$O$82,résultats!$O$96,résultats!$O$110,résultats!$O$124)</c:f>
              <c:numCache>
                <c:formatCode>0.00</c:formatCode>
                <c:ptCount val="9"/>
                <c:pt idx="0">
                  <c:v>139.91</c:v>
                </c:pt>
                <c:pt idx="1">
                  <c:v>156.58000000000001</c:v>
                </c:pt>
                <c:pt idx="2">
                  <c:v>160.25</c:v>
                </c:pt>
                <c:pt idx="3">
                  <c:v>166.59</c:v>
                </c:pt>
                <c:pt idx="4">
                  <c:v>172.03</c:v>
                </c:pt>
                <c:pt idx="5">
                  <c:v>183.91</c:v>
                </c:pt>
                <c:pt idx="6">
                  <c:v>194.25</c:v>
                </c:pt>
                <c:pt idx="7">
                  <c:v>262.58</c:v>
                </c:pt>
                <c:pt idx="8">
                  <c:v>320.52999999999997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(résultats!$O$13,résultats!$O$27,résultats!$O$41,résultats!$O$55,résultats!$O$69,résultats!$O$83,résultats!$O$97,résultats!$O$111)</c:f>
              <c:numCache>
                <c:formatCode>0.00</c:formatCode>
                <c:ptCount val="8"/>
                <c:pt idx="0">
                  <c:v>141.11000000000001</c:v>
                </c:pt>
                <c:pt idx="1">
                  <c:v>153.61000000000001</c:v>
                </c:pt>
                <c:pt idx="2">
                  <c:v>160.16</c:v>
                </c:pt>
                <c:pt idx="3">
                  <c:v>163.52000000000001</c:v>
                </c:pt>
                <c:pt idx="4">
                  <c:v>171.23</c:v>
                </c:pt>
                <c:pt idx="5">
                  <c:v>189.02</c:v>
                </c:pt>
                <c:pt idx="6">
                  <c:v>239.84</c:v>
                </c:pt>
                <c:pt idx="7">
                  <c:v>380.89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(résultats!$O$14,résultats!$O$28,résultats!$O$42,résultats!$O$56,résultats!$O$70,résultats!$O$84,résultats!$O$98,résultats!$O$112,résultats!$O$126)</c:f>
              <c:numCache>
                <c:formatCode>0.00</c:formatCode>
                <c:ptCount val="9"/>
                <c:pt idx="0">
                  <c:v>131.66</c:v>
                </c:pt>
                <c:pt idx="1">
                  <c:v>156.41</c:v>
                </c:pt>
                <c:pt idx="2">
                  <c:v>154.82</c:v>
                </c:pt>
                <c:pt idx="3">
                  <c:v>162.16</c:v>
                </c:pt>
                <c:pt idx="4">
                  <c:v>171.43</c:v>
                </c:pt>
                <c:pt idx="5">
                  <c:v>182.39</c:v>
                </c:pt>
                <c:pt idx="6">
                  <c:v>193.23</c:v>
                </c:pt>
                <c:pt idx="7">
                  <c:v>214</c:v>
                </c:pt>
                <c:pt idx="8">
                  <c:v>271.83999999999997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(résultats!$O$29,résultats!$O$43,résultats!$O$57,résultats!$O$71,résultats!$O$85,résultats!$O$99,résultats!$O$113,résultats!$O$127,résultats!$O$141)</c:f>
              <c:numCache>
                <c:formatCode>0.00</c:formatCode>
                <c:ptCount val="9"/>
                <c:pt idx="0">
                  <c:v>153.16999999999999</c:v>
                </c:pt>
                <c:pt idx="1">
                  <c:v>154.63999999999999</c:v>
                </c:pt>
                <c:pt idx="2">
                  <c:v>161.26</c:v>
                </c:pt>
                <c:pt idx="3">
                  <c:v>166.46</c:v>
                </c:pt>
                <c:pt idx="4">
                  <c:v>169.81</c:v>
                </c:pt>
                <c:pt idx="5">
                  <c:v>177.72</c:v>
                </c:pt>
                <c:pt idx="6">
                  <c:v>191.23</c:v>
                </c:pt>
                <c:pt idx="7">
                  <c:v>244.06</c:v>
                </c:pt>
                <c:pt idx="8">
                  <c:v>394.88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(résultats!$O$16,résultats!$O$30,résultats!$O$44,résultats!$O$58,résultats!$O$72,résultats!$O$86,résultats!$O$100,résultats!$O$114)</c:f>
              <c:numCache>
                <c:formatCode>0.00</c:formatCode>
                <c:ptCount val="8"/>
                <c:pt idx="0">
                  <c:v>144.16</c:v>
                </c:pt>
                <c:pt idx="1">
                  <c:v>161.35</c:v>
                </c:pt>
                <c:pt idx="2">
                  <c:v>167.28</c:v>
                </c:pt>
                <c:pt idx="3">
                  <c:v>172.67</c:v>
                </c:pt>
                <c:pt idx="4">
                  <c:v>182.85</c:v>
                </c:pt>
                <c:pt idx="5">
                  <c:v>196.56</c:v>
                </c:pt>
                <c:pt idx="6">
                  <c:v>264.19</c:v>
                </c:pt>
                <c:pt idx="7">
                  <c:v>319.27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(résultats!$O$17,résultats!$O$31,résultats!$O$45,résultats!$O$59,résultats!$O$73,résultats!$O$87)</c:f>
              <c:numCache>
                <c:formatCode>0.00</c:formatCode>
                <c:ptCount val="6"/>
                <c:pt idx="0">
                  <c:v>123.39</c:v>
                </c:pt>
                <c:pt idx="1">
                  <c:v>144.03</c:v>
                </c:pt>
                <c:pt idx="2">
                  <c:v>153.71</c:v>
                </c:pt>
                <c:pt idx="3">
                  <c:v>173.91</c:v>
                </c:pt>
                <c:pt idx="4">
                  <c:v>200.81</c:v>
                </c:pt>
                <c:pt idx="5">
                  <c:v>255.67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(résultats!$O$18,résultats!$O$32,résultats!$O$46,résultats!$O$60,résultats!$O$74,résultats!$O$88)</c:f>
              <c:numCache>
                <c:formatCode>0.00</c:formatCode>
                <c:ptCount val="6"/>
                <c:pt idx="0">
                  <c:v>143.85</c:v>
                </c:pt>
                <c:pt idx="1">
                  <c:v>162.08000000000001</c:v>
                </c:pt>
                <c:pt idx="2">
                  <c:v>170.89</c:v>
                </c:pt>
                <c:pt idx="3">
                  <c:v>191.23</c:v>
                </c:pt>
                <c:pt idx="4">
                  <c:v>209.49</c:v>
                </c:pt>
                <c:pt idx="5">
                  <c:v>416.44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(résultats!$O$19,résultats!$O$33,résultats!$O$47,résultats!$O$61,résultats!$O$75,résultats!$O$89,résultats!$O$103,résultats!$O$117,résultats!$O$131)</c:f>
              <c:numCache>
                <c:formatCode>0.00</c:formatCode>
                <c:ptCount val="9"/>
                <c:pt idx="0">
                  <c:v>127.07</c:v>
                </c:pt>
                <c:pt idx="1">
                  <c:v>146.76</c:v>
                </c:pt>
                <c:pt idx="2">
                  <c:v>147.94</c:v>
                </c:pt>
                <c:pt idx="3">
                  <c:v>155.66999999999999</c:v>
                </c:pt>
                <c:pt idx="4">
                  <c:v>162.13999999999999</c:v>
                </c:pt>
                <c:pt idx="5">
                  <c:v>177.37</c:v>
                </c:pt>
                <c:pt idx="6">
                  <c:v>190.26</c:v>
                </c:pt>
                <c:pt idx="7">
                  <c:v>206.2</c:v>
                </c:pt>
                <c:pt idx="8">
                  <c:v>302.64999999999998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(résultats!$O$20,résultats!$O$34,résultats!$O$48,résultats!$O$62,résultats!$O$76,résultats!$O$90,résultats!$O$104,résultats!$O$118,résultats!$O$132,résultats!$O$146)</c:f>
              <c:numCache>
                <c:formatCode>0.00</c:formatCode>
                <c:ptCount val="10"/>
                <c:pt idx="0">
                  <c:v>132.09</c:v>
                </c:pt>
                <c:pt idx="1">
                  <c:v>148.57</c:v>
                </c:pt>
                <c:pt idx="2">
                  <c:v>151.15</c:v>
                </c:pt>
                <c:pt idx="3">
                  <c:v>155.22</c:v>
                </c:pt>
                <c:pt idx="4">
                  <c:v>160.91</c:v>
                </c:pt>
                <c:pt idx="5">
                  <c:v>165.35</c:v>
                </c:pt>
                <c:pt idx="6">
                  <c:v>180.88</c:v>
                </c:pt>
                <c:pt idx="7">
                  <c:v>199.24</c:v>
                </c:pt>
                <c:pt idx="8">
                  <c:v>253.38</c:v>
                </c:pt>
                <c:pt idx="9">
                  <c:v>162.38999999999999</c:v>
                </c:pt>
              </c:numCache>
            </c:numRef>
          </c:yVal>
        </c:ser>
        <c:axId val="119737728"/>
        <c:axId val="119747712"/>
      </c:scatterChart>
      <c:valAx>
        <c:axId val="119737728"/>
        <c:scaling>
          <c:orientation val="minMax"/>
        </c:scaling>
        <c:axPos val="b"/>
        <c:numFmt formatCode="General" sourceLinked="1"/>
        <c:tickLblPos val="nextTo"/>
        <c:crossAx val="119747712"/>
        <c:crosses val="autoZero"/>
        <c:crossBetween val="midCat"/>
      </c:valAx>
      <c:valAx>
        <c:axId val="119747712"/>
        <c:scaling>
          <c:orientation val="minMax"/>
          <c:min val="100"/>
        </c:scaling>
        <c:axPos val="l"/>
        <c:majorGridlines/>
        <c:numFmt formatCode="0.00" sourceLinked="1"/>
        <c:tickLblPos val="nextTo"/>
        <c:crossAx val="119737728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3463887014123261"/>
          <c:y val="7.9557529357274009E-4"/>
          <c:w val="0.11830381202349705"/>
          <c:h val="0.81004640855879706"/>
        </c:manualLayout>
      </c:layout>
    </c:legend>
    <c:plotVisOnly val="1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6411441394395163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(résultats!$Y$7,résultats!$Y$21,résultats!$Y$35,résultats!$Y$49,résultats!$Y$63,résultats!$Y$77,résultats!$Y$91,résultats!$Y$105,résultats!$Y$119,résultats!$Y$133)</c:f>
              <c:numCache>
                <c:formatCode>0.00</c:formatCode>
                <c:ptCount val="10"/>
                <c:pt idx="0">
                  <c:v>55.18</c:v>
                </c:pt>
                <c:pt idx="1">
                  <c:v>58.22</c:v>
                </c:pt>
                <c:pt idx="2">
                  <c:v>56.73</c:v>
                </c:pt>
                <c:pt idx="3">
                  <c:v>58.47</c:v>
                </c:pt>
                <c:pt idx="4">
                  <c:v>59.38</c:v>
                </c:pt>
                <c:pt idx="5">
                  <c:v>60.17</c:v>
                </c:pt>
                <c:pt idx="6">
                  <c:v>61.08</c:v>
                </c:pt>
                <c:pt idx="7">
                  <c:v>62.02</c:v>
                </c:pt>
                <c:pt idx="8">
                  <c:v>66.06</c:v>
                </c:pt>
                <c:pt idx="9">
                  <c:v>69.599999999999994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(résultats!$Y$8,résultats!$Y$22,résultats!$Y$36,résultats!$Y$50,résultats!$Y$64,résultats!$Y$78,résultats!$Y$92,résultats!$Y$106,résultats!$Y$134)</c:f>
              <c:numCache>
                <c:formatCode>0.00</c:formatCode>
                <c:ptCount val="9"/>
                <c:pt idx="0">
                  <c:v>57.12</c:v>
                </c:pt>
                <c:pt idx="1">
                  <c:v>57.93</c:v>
                </c:pt>
                <c:pt idx="2">
                  <c:v>58.89</c:v>
                </c:pt>
                <c:pt idx="3">
                  <c:v>59.32</c:v>
                </c:pt>
                <c:pt idx="4">
                  <c:v>60.46</c:v>
                </c:pt>
                <c:pt idx="5">
                  <c:v>60.83</c:v>
                </c:pt>
                <c:pt idx="6">
                  <c:v>61.46</c:v>
                </c:pt>
                <c:pt idx="7">
                  <c:v>62.45</c:v>
                </c:pt>
                <c:pt idx="8">
                  <c:v>65.98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(résultats!$Y$9,résultats!$Y$23,résultats!$Y$37,résultats!$Y$51,résultats!$Y$65,résultats!$Y$79,résultats!$Y$93,résultats!$Y$107,résultats!$Y$121,résultats!$Y$135,résultats!$Y$149)</c:f>
              <c:numCache>
                <c:formatCode>0.00</c:formatCode>
                <c:ptCount val="11"/>
                <c:pt idx="0">
                  <c:v>54.1</c:v>
                </c:pt>
                <c:pt idx="1">
                  <c:v>55.62</c:v>
                </c:pt>
                <c:pt idx="2">
                  <c:v>55.46</c:v>
                </c:pt>
                <c:pt idx="3">
                  <c:v>56.17</c:v>
                </c:pt>
                <c:pt idx="4">
                  <c:v>56.94</c:v>
                </c:pt>
                <c:pt idx="5">
                  <c:v>57.59</c:v>
                </c:pt>
                <c:pt idx="6">
                  <c:v>58.29</c:v>
                </c:pt>
                <c:pt idx="7">
                  <c:v>59.4</c:v>
                </c:pt>
                <c:pt idx="8">
                  <c:v>59.86</c:v>
                </c:pt>
                <c:pt idx="9">
                  <c:v>62.26</c:v>
                </c:pt>
                <c:pt idx="10">
                  <c:v>66.64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(résultats!$Y$24,résultats!$Y$38,résultats!$Y$52,résultats!$Y$66,résultats!$Y$80,résultats!$Y$94,résultats!$Y$108,résultats!$Y$122,résultats!$Y$136,résultats!$Y$150)</c:f>
              <c:numCache>
                <c:formatCode>0.00</c:formatCode>
                <c:ptCount val="10"/>
                <c:pt idx="0">
                  <c:v>56.12</c:v>
                </c:pt>
                <c:pt idx="1">
                  <c:v>56.52</c:v>
                </c:pt>
                <c:pt idx="2">
                  <c:v>56.55</c:v>
                </c:pt>
                <c:pt idx="3">
                  <c:v>57.57</c:v>
                </c:pt>
                <c:pt idx="4">
                  <c:v>58.06</c:v>
                </c:pt>
                <c:pt idx="5">
                  <c:v>58.26</c:v>
                </c:pt>
                <c:pt idx="6">
                  <c:v>60.76</c:v>
                </c:pt>
                <c:pt idx="7">
                  <c:v>60.33</c:v>
                </c:pt>
                <c:pt idx="8">
                  <c:v>63.52</c:v>
                </c:pt>
                <c:pt idx="9">
                  <c:v>61.11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(résultats!$Y$11,résultats!$Y$25,résultats!$Y$39,résultats!$Y$53,résultats!$Y$67,résultats!$Y$81,résultats!$Y$95)</c:f>
              <c:numCache>
                <c:formatCode>0.00</c:formatCode>
                <c:ptCount val="7"/>
                <c:pt idx="0">
                  <c:v>56.99</c:v>
                </c:pt>
                <c:pt idx="1">
                  <c:v>58.55</c:v>
                </c:pt>
                <c:pt idx="2">
                  <c:v>58.63</c:v>
                </c:pt>
                <c:pt idx="3">
                  <c:v>59.42</c:v>
                </c:pt>
                <c:pt idx="4">
                  <c:v>61.08</c:v>
                </c:pt>
                <c:pt idx="5">
                  <c:v>62.19</c:v>
                </c:pt>
                <c:pt idx="6">
                  <c:v>66.180000000000007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(résultats!$Y$12,résultats!$Y$26,résultats!$Y$40,résultats!$Y$54,résultats!$Y$68,résultats!$Y$82,résultats!$Y$96,résultats!$Y$110,résultats!$Y$124)</c:f>
              <c:numCache>
                <c:formatCode>0.00</c:formatCode>
                <c:ptCount val="9"/>
                <c:pt idx="0">
                  <c:v>57.23</c:v>
                </c:pt>
                <c:pt idx="1">
                  <c:v>58.64</c:v>
                </c:pt>
                <c:pt idx="2">
                  <c:v>59.04</c:v>
                </c:pt>
                <c:pt idx="3">
                  <c:v>59.77</c:v>
                </c:pt>
                <c:pt idx="4">
                  <c:v>60.39</c:v>
                </c:pt>
                <c:pt idx="5">
                  <c:v>61.63</c:v>
                </c:pt>
                <c:pt idx="6">
                  <c:v>61.85</c:v>
                </c:pt>
                <c:pt idx="7">
                  <c:v>64.48</c:v>
                </c:pt>
                <c:pt idx="8">
                  <c:v>69.56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(résultats!$Y$13,résultats!$Y$27,résultats!$Y$41,résultats!$Y$55,résultats!$Y$69,résultats!$Y$83,résultats!$Y$97,résultats!$Y$111)</c:f>
              <c:numCache>
                <c:formatCode>0.00</c:formatCode>
                <c:ptCount val="8"/>
                <c:pt idx="0">
                  <c:v>56.8</c:v>
                </c:pt>
                <c:pt idx="1">
                  <c:v>57.79</c:v>
                </c:pt>
                <c:pt idx="2">
                  <c:v>57.86</c:v>
                </c:pt>
                <c:pt idx="3">
                  <c:v>58.69</c:v>
                </c:pt>
                <c:pt idx="4">
                  <c:v>59.44</c:v>
                </c:pt>
                <c:pt idx="5">
                  <c:v>61.19</c:v>
                </c:pt>
                <c:pt idx="6">
                  <c:v>65.150000000000006</c:v>
                </c:pt>
                <c:pt idx="7">
                  <c:v>73.16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(résultats!$Y$14,résultats!$Y$28,résultats!$Y$42,résultats!$Y$56,résultats!$Y$70,résultats!$Y$84,résultats!$Y$98,résultats!$Y$112,résultats!$Y$126)</c:f>
              <c:numCache>
                <c:formatCode>0.00</c:formatCode>
                <c:ptCount val="9"/>
                <c:pt idx="0">
                  <c:v>47.71</c:v>
                </c:pt>
                <c:pt idx="1">
                  <c:v>58.08</c:v>
                </c:pt>
                <c:pt idx="2">
                  <c:v>58</c:v>
                </c:pt>
                <c:pt idx="3">
                  <c:v>58.12</c:v>
                </c:pt>
                <c:pt idx="4">
                  <c:v>59.41</c:v>
                </c:pt>
                <c:pt idx="5">
                  <c:v>60.8</c:v>
                </c:pt>
                <c:pt idx="6">
                  <c:v>61.99</c:v>
                </c:pt>
                <c:pt idx="7">
                  <c:v>63.91</c:v>
                </c:pt>
                <c:pt idx="8">
                  <c:v>68.22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(résultats!$Y$29,résultats!$Y$43,résultats!$Y$57,résultats!$Y$71,résultats!$Y$85,résultats!$Y$99,résultats!$Y$113,résultats!$Y$127,résultats!$Y$141)</c:f>
              <c:numCache>
                <c:formatCode>0.00</c:formatCode>
                <c:ptCount val="9"/>
                <c:pt idx="0">
                  <c:v>57.33</c:v>
                </c:pt>
                <c:pt idx="1">
                  <c:v>57.72</c:v>
                </c:pt>
                <c:pt idx="2">
                  <c:v>58.28</c:v>
                </c:pt>
                <c:pt idx="3">
                  <c:v>58.61</c:v>
                </c:pt>
                <c:pt idx="4">
                  <c:v>59.08</c:v>
                </c:pt>
                <c:pt idx="5">
                  <c:v>60.06</c:v>
                </c:pt>
                <c:pt idx="6">
                  <c:v>61.34</c:v>
                </c:pt>
                <c:pt idx="7">
                  <c:v>63.96</c:v>
                </c:pt>
                <c:pt idx="8">
                  <c:v>72.010000000000005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(résultats!$Y$16,résultats!$Y$30,résultats!$Y$44,résultats!$Y$58,résultats!$Y$72,résultats!$Y$86,résultats!$Y$100,résultats!$Y$114)</c:f>
              <c:numCache>
                <c:formatCode>0.00</c:formatCode>
                <c:ptCount val="8"/>
                <c:pt idx="0">
                  <c:v>57.32</c:v>
                </c:pt>
                <c:pt idx="1">
                  <c:v>58.7</c:v>
                </c:pt>
                <c:pt idx="2">
                  <c:v>59.56</c:v>
                </c:pt>
                <c:pt idx="3">
                  <c:v>59.98</c:v>
                </c:pt>
                <c:pt idx="4">
                  <c:v>60.99</c:v>
                </c:pt>
                <c:pt idx="5">
                  <c:v>62.35</c:v>
                </c:pt>
                <c:pt idx="6">
                  <c:v>67.150000000000006</c:v>
                </c:pt>
                <c:pt idx="7">
                  <c:v>72.3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(résultats!$Y$17,résultats!$Y$31,résultats!$Y$45,résultats!$Y$59,résultats!$Y$73,résultats!$Y$87)</c:f>
              <c:numCache>
                <c:formatCode>0.00</c:formatCode>
                <c:ptCount val="6"/>
                <c:pt idx="0">
                  <c:v>55.32</c:v>
                </c:pt>
                <c:pt idx="1">
                  <c:v>57.48</c:v>
                </c:pt>
                <c:pt idx="2">
                  <c:v>58.41</c:v>
                </c:pt>
                <c:pt idx="3">
                  <c:v>60.6</c:v>
                </c:pt>
                <c:pt idx="4">
                  <c:v>63.12</c:v>
                </c:pt>
                <c:pt idx="5">
                  <c:v>65.12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(résultats!$Y$18,résultats!$Y$32,résultats!$Y$46,résultats!$Y$60,résultats!$Y$74,résultats!$Y$88)</c:f>
              <c:numCache>
                <c:formatCode>0.00</c:formatCode>
                <c:ptCount val="6"/>
                <c:pt idx="0">
                  <c:v>56.12</c:v>
                </c:pt>
                <c:pt idx="1">
                  <c:v>58.37</c:v>
                </c:pt>
                <c:pt idx="2">
                  <c:v>59.33</c:v>
                </c:pt>
                <c:pt idx="3">
                  <c:v>61.55</c:v>
                </c:pt>
                <c:pt idx="4">
                  <c:v>63.08</c:v>
                </c:pt>
                <c:pt idx="5">
                  <c:v>74.180000000000007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(résultats!$Y$19,résultats!$Y$33,résultats!$Y$47,résultats!$Y$61,résultats!$Y$75,résultats!$Y$89,résultats!$Y$103,résultats!$Y$117,résultats!$Y$131)</c:f>
              <c:numCache>
                <c:formatCode>0.00</c:formatCode>
                <c:ptCount val="9"/>
                <c:pt idx="0">
                  <c:v>55.27</c:v>
                </c:pt>
                <c:pt idx="1">
                  <c:v>57.16</c:v>
                </c:pt>
                <c:pt idx="2">
                  <c:v>57.35</c:v>
                </c:pt>
                <c:pt idx="3">
                  <c:v>58.26</c:v>
                </c:pt>
                <c:pt idx="4">
                  <c:v>59.12</c:v>
                </c:pt>
                <c:pt idx="5">
                  <c:v>60.46</c:v>
                </c:pt>
                <c:pt idx="6">
                  <c:v>61.45</c:v>
                </c:pt>
                <c:pt idx="7">
                  <c:v>62.94</c:v>
                </c:pt>
                <c:pt idx="8">
                  <c:v>68.37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(résultats!$Y$20,résultats!$Y$34,résultats!$Y$48,résultats!$Y$62,résultats!$Y$76,résultats!$Y$90,résultats!$Y$104,résultats!$Y$118,résultats!$Y$132)</c:f>
              <c:numCache>
                <c:formatCode>0.00</c:formatCode>
                <c:ptCount val="9"/>
                <c:pt idx="0">
                  <c:v>55.56</c:v>
                </c:pt>
                <c:pt idx="1">
                  <c:v>56.92</c:v>
                </c:pt>
                <c:pt idx="2">
                  <c:v>57.23</c:v>
                </c:pt>
                <c:pt idx="3">
                  <c:v>57.74</c:v>
                </c:pt>
                <c:pt idx="4">
                  <c:v>58.29</c:v>
                </c:pt>
                <c:pt idx="5">
                  <c:v>59.76</c:v>
                </c:pt>
                <c:pt idx="6">
                  <c:v>61.22</c:v>
                </c:pt>
                <c:pt idx="7">
                  <c:v>62.77</c:v>
                </c:pt>
                <c:pt idx="8">
                  <c:v>66.28</c:v>
                </c:pt>
              </c:numCache>
            </c:numRef>
          </c:yVal>
        </c:ser>
        <c:axId val="121105792"/>
        <c:axId val="120992896"/>
      </c:scatterChart>
      <c:valAx>
        <c:axId val="121105792"/>
        <c:scaling>
          <c:orientation val="minMax"/>
        </c:scaling>
        <c:axPos val="b"/>
        <c:numFmt formatCode="General" sourceLinked="1"/>
        <c:tickLblPos val="nextTo"/>
        <c:crossAx val="120992896"/>
        <c:crosses val="autoZero"/>
        <c:crossBetween val="midCat"/>
      </c:valAx>
      <c:valAx>
        <c:axId val="120992896"/>
        <c:scaling>
          <c:orientation val="minMax"/>
          <c:min val="40"/>
        </c:scaling>
        <c:axPos val="l"/>
        <c:majorGridlines/>
        <c:numFmt formatCode="0.00" sourceLinked="1"/>
        <c:tickLblPos val="nextTo"/>
        <c:crossAx val="121105792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4438535265670123"/>
          <c:y val="7.955823703855268E-4"/>
          <c:w val="0.14441874259811394"/>
          <c:h val="0.99920441874044386"/>
        </c:manualLayout>
      </c:layout>
    </c:legend>
    <c:plotVisOnly val="1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6.6438224783191072E-2"/>
          <c:y val="1.8195941399379051E-2"/>
          <c:w val="0.76411441394395163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(résultats!$X$7,résultats!$X$21,résultats!$X$35,résultats!$X$49,résultats!$X$63,résultats!$X$77,résultats!$X$91,résultats!$X$105,résultats!$X$119,résultats!$X$133)</c:f>
              <c:numCache>
                <c:formatCode>0.00</c:formatCode>
                <c:ptCount val="10"/>
                <c:pt idx="0">
                  <c:v>1.44</c:v>
                </c:pt>
                <c:pt idx="1">
                  <c:v>1.61</c:v>
                </c:pt>
                <c:pt idx="2">
                  <c:v>1.52</c:v>
                </c:pt>
                <c:pt idx="3">
                  <c:v>1.63</c:v>
                </c:pt>
                <c:pt idx="4">
                  <c:v>1.69</c:v>
                </c:pt>
                <c:pt idx="5">
                  <c:v>1.74</c:v>
                </c:pt>
                <c:pt idx="6">
                  <c:v>1.81</c:v>
                </c:pt>
                <c:pt idx="7">
                  <c:v>1.88</c:v>
                </c:pt>
                <c:pt idx="8">
                  <c:v>2.25</c:v>
                </c:pt>
                <c:pt idx="9">
                  <c:v>2.69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(résultats!$X$8,résultats!$X$22,résultats!$X$36,résultats!$X$50,résultats!$X$64,résultats!$X$78,résultats!$X$92,résultats!$X$106,résultats!$X$134)</c:f>
              <c:numCache>
                <c:formatCode>0.00</c:formatCode>
                <c:ptCount val="9"/>
                <c:pt idx="0">
                  <c:v>1.55</c:v>
                </c:pt>
                <c:pt idx="1">
                  <c:v>1.6</c:v>
                </c:pt>
                <c:pt idx="2">
                  <c:v>1.66</c:v>
                </c:pt>
                <c:pt idx="3">
                  <c:v>1.69</c:v>
                </c:pt>
                <c:pt idx="4">
                  <c:v>1.76</c:v>
                </c:pt>
                <c:pt idx="5">
                  <c:v>1.79</c:v>
                </c:pt>
                <c:pt idx="6">
                  <c:v>1.84</c:v>
                </c:pt>
                <c:pt idx="7">
                  <c:v>1.92</c:v>
                </c:pt>
                <c:pt idx="8">
                  <c:v>2.2400000000000002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(résultats!$X$9,résultats!$X$23,résultats!$X$37,résultats!$X$51,résultats!$X$65,résultats!$X$79,résultats!$X$93,résultats!$X$107,résultats!$X$121,résultats!$X$135,résultats!$X$149)</c:f>
              <c:numCache>
                <c:formatCode>0.00</c:formatCode>
                <c:ptCount val="11"/>
                <c:pt idx="0">
                  <c:v>1.38</c:v>
                </c:pt>
                <c:pt idx="1">
                  <c:v>1.46</c:v>
                </c:pt>
                <c:pt idx="2">
                  <c:v>1.45</c:v>
                </c:pt>
                <c:pt idx="3">
                  <c:v>1.49</c:v>
                </c:pt>
                <c:pt idx="4">
                  <c:v>1.54</c:v>
                </c:pt>
                <c:pt idx="5">
                  <c:v>1.58</c:v>
                </c:pt>
                <c:pt idx="6">
                  <c:v>1.62</c:v>
                </c:pt>
                <c:pt idx="7">
                  <c:v>1.69</c:v>
                </c:pt>
                <c:pt idx="8">
                  <c:v>1.72</c:v>
                </c:pt>
                <c:pt idx="9">
                  <c:v>1.9</c:v>
                </c:pt>
                <c:pt idx="10">
                  <c:v>2.3199999999999998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(résultats!$X$24,résultats!$X$38,résultats!$X$52,résultats!$X$66,résultats!$X$80,résultats!$X$94,résultats!$X$108,résultats!$X$122,résultats!$X$136,résultats!$X$150)</c:f>
              <c:numCache>
                <c:formatCode>0.00</c:formatCode>
                <c:ptCount val="10"/>
                <c:pt idx="0">
                  <c:v>1.49</c:v>
                </c:pt>
                <c:pt idx="1">
                  <c:v>1.51</c:v>
                </c:pt>
                <c:pt idx="2">
                  <c:v>1.51</c:v>
                </c:pt>
                <c:pt idx="3">
                  <c:v>1.57</c:v>
                </c:pt>
                <c:pt idx="4">
                  <c:v>1.6</c:v>
                </c:pt>
                <c:pt idx="5">
                  <c:v>1.62</c:v>
                </c:pt>
                <c:pt idx="6">
                  <c:v>1.79</c:v>
                </c:pt>
                <c:pt idx="7">
                  <c:v>1.76</c:v>
                </c:pt>
                <c:pt idx="8">
                  <c:v>2.0099999999999998</c:v>
                </c:pt>
                <c:pt idx="9">
                  <c:v>1.81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(résultats!$X$11,résultats!$X$25,résultats!$X$39,résultats!$X$53,résultats!$X$67,résultats!$X$81)</c:f>
              <c:numCache>
                <c:formatCode>0.00</c:formatCode>
                <c:ptCount val="6"/>
                <c:pt idx="0">
                  <c:v>1.54</c:v>
                </c:pt>
                <c:pt idx="1">
                  <c:v>1.63</c:v>
                </c:pt>
                <c:pt idx="2">
                  <c:v>1.64</c:v>
                </c:pt>
                <c:pt idx="3">
                  <c:v>1.69</c:v>
                </c:pt>
                <c:pt idx="4">
                  <c:v>1.81</c:v>
                </c:pt>
                <c:pt idx="5">
                  <c:v>1.9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(résultats!$X$12,résultats!$X$26,résultats!$X$40,résultats!$X$54,résultats!$X$68,résultats!$X$82,résultats!$X$96,résultats!$X$110,résultats!$X$124)</c:f>
              <c:numCache>
                <c:formatCode>0.00</c:formatCode>
                <c:ptCount val="9"/>
                <c:pt idx="0">
                  <c:v>1.55</c:v>
                </c:pt>
                <c:pt idx="1">
                  <c:v>1.64</c:v>
                </c:pt>
                <c:pt idx="2">
                  <c:v>1.67</c:v>
                </c:pt>
                <c:pt idx="3">
                  <c:v>1.72</c:v>
                </c:pt>
                <c:pt idx="4">
                  <c:v>1.76</c:v>
                </c:pt>
                <c:pt idx="5">
                  <c:v>1.85</c:v>
                </c:pt>
                <c:pt idx="6">
                  <c:v>1.87</c:v>
                </c:pt>
                <c:pt idx="7">
                  <c:v>2.09</c:v>
                </c:pt>
                <c:pt idx="8">
                  <c:v>2.68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(résultats!$X$13,résultats!$X$27,résultats!$X$41,résultats!$X$55,résultats!$X$69,résultats!$X$83,résultats!$X$97,résultats!$X$111)</c:f>
              <c:numCache>
                <c:formatCode>0.00</c:formatCode>
                <c:ptCount val="8"/>
                <c:pt idx="0">
                  <c:v>1.53</c:v>
                </c:pt>
                <c:pt idx="1">
                  <c:v>1.59</c:v>
                </c:pt>
                <c:pt idx="2">
                  <c:v>1.59</c:v>
                </c:pt>
                <c:pt idx="3">
                  <c:v>1.64</c:v>
                </c:pt>
                <c:pt idx="4">
                  <c:v>1.69</c:v>
                </c:pt>
                <c:pt idx="5">
                  <c:v>1.82</c:v>
                </c:pt>
                <c:pt idx="6">
                  <c:v>2.16</c:v>
                </c:pt>
                <c:pt idx="7">
                  <c:v>3.3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(résultats!$X$14,résultats!$X$28,résultats!$X$42,résultats!$X$56,résultats!$X$70,résultats!$X$84,résultats!$X$98,résultats!$X$112,résultats!$X$126)</c:f>
              <c:numCache>
                <c:formatCode>0.00</c:formatCode>
                <c:ptCount val="9"/>
                <c:pt idx="0">
                  <c:v>1.1000000000000001</c:v>
                </c:pt>
                <c:pt idx="1">
                  <c:v>1.61</c:v>
                </c:pt>
                <c:pt idx="2">
                  <c:v>1.6</c:v>
                </c:pt>
                <c:pt idx="3">
                  <c:v>1.61</c:v>
                </c:pt>
                <c:pt idx="4">
                  <c:v>1.69</c:v>
                </c:pt>
                <c:pt idx="5">
                  <c:v>1.79</c:v>
                </c:pt>
                <c:pt idx="6">
                  <c:v>1.88</c:v>
                </c:pt>
                <c:pt idx="7">
                  <c:v>2.04</c:v>
                </c:pt>
                <c:pt idx="8">
                  <c:v>2.5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(résultats!$X$29,résultats!$X$43,résultats!$X$57,résultats!$X$71,résultats!$X$85,résultats!$X$99,résultats!$X$113,résultats!$X$127,résultats!$X$141)</c:f>
              <c:numCache>
                <c:formatCode>0.00</c:formatCode>
                <c:ptCount val="9"/>
                <c:pt idx="0">
                  <c:v>1.56</c:v>
                </c:pt>
                <c:pt idx="1">
                  <c:v>1.58</c:v>
                </c:pt>
                <c:pt idx="2">
                  <c:v>1.62</c:v>
                </c:pt>
                <c:pt idx="3">
                  <c:v>1.64</c:v>
                </c:pt>
                <c:pt idx="4">
                  <c:v>1.68</c:v>
                </c:pt>
                <c:pt idx="5">
                  <c:v>1.74</c:v>
                </c:pt>
                <c:pt idx="6">
                  <c:v>1.83</c:v>
                </c:pt>
                <c:pt idx="7">
                  <c:v>2.0499999999999998</c:v>
                </c:pt>
                <c:pt idx="8">
                  <c:v>3.08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(résultats!$X$16,résultats!$X$30,résultats!$X$44,résultats!$X$58,résultats!$X$72,résultats!$X$86,résultats!$X$100,résultats!$X$114)</c:f>
              <c:numCache>
                <c:formatCode>0.00</c:formatCode>
                <c:ptCount val="8"/>
                <c:pt idx="0">
                  <c:v>1.56</c:v>
                </c:pt>
                <c:pt idx="1">
                  <c:v>1.64</c:v>
                </c:pt>
                <c:pt idx="2">
                  <c:v>1.7</c:v>
                </c:pt>
                <c:pt idx="3">
                  <c:v>1.73</c:v>
                </c:pt>
                <c:pt idx="4">
                  <c:v>1.8</c:v>
                </c:pt>
                <c:pt idx="5">
                  <c:v>1.91</c:v>
                </c:pt>
                <c:pt idx="6">
                  <c:v>2.37</c:v>
                </c:pt>
                <c:pt idx="7">
                  <c:v>3.13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(résultats!$X$17,résultats!$X$31,résultats!$X$45,résultats!$X$59,résultats!$X$73,résultats!$X$87)</c:f>
              <c:numCache>
                <c:formatCode>0.00</c:formatCode>
                <c:ptCount val="6"/>
                <c:pt idx="0">
                  <c:v>1.45</c:v>
                </c:pt>
                <c:pt idx="1">
                  <c:v>1.57</c:v>
                </c:pt>
                <c:pt idx="2">
                  <c:v>1.63</c:v>
                </c:pt>
                <c:pt idx="3">
                  <c:v>1.77</c:v>
                </c:pt>
                <c:pt idx="4">
                  <c:v>1.97</c:v>
                </c:pt>
                <c:pt idx="5">
                  <c:v>2.16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(résultats!$X$18,résultats!$X$32,résultats!$X$46,résultats!$X$60,résultats!$X$74,résultats!$X$88)</c:f>
              <c:numCache>
                <c:formatCode>0.00</c:formatCode>
                <c:ptCount val="6"/>
                <c:pt idx="0">
                  <c:v>1.49</c:v>
                </c:pt>
                <c:pt idx="1">
                  <c:v>1.62</c:v>
                </c:pt>
                <c:pt idx="2">
                  <c:v>1.69</c:v>
                </c:pt>
                <c:pt idx="3">
                  <c:v>1.85</c:v>
                </c:pt>
                <c:pt idx="4">
                  <c:v>1.97</c:v>
                </c:pt>
                <c:pt idx="5">
                  <c:v>3.53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(résultats!$X$19,résultats!$X$33,résultats!$X$47,résultats!$X$61,résultats!$X$75,résultats!$X$89,résultats!$X$103,résultats!$X$117,résultats!$X$131)</c:f>
              <c:numCache>
                <c:formatCode>0.00</c:formatCode>
                <c:ptCount val="9"/>
                <c:pt idx="0">
                  <c:v>1.44</c:v>
                </c:pt>
                <c:pt idx="1">
                  <c:v>1.55</c:v>
                </c:pt>
                <c:pt idx="2">
                  <c:v>1.56</c:v>
                </c:pt>
                <c:pt idx="3">
                  <c:v>1.62</c:v>
                </c:pt>
                <c:pt idx="4">
                  <c:v>1.67</c:v>
                </c:pt>
                <c:pt idx="5">
                  <c:v>1.76</c:v>
                </c:pt>
                <c:pt idx="6">
                  <c:v>1.84</c:v>
                </c:pt>
                <c:pt idx="7">
                  <c:v>1.96</c:v>
                </c:pt>
                <c:pt idx="8">
                  <c:v>2.52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(résultats!$X$20,résultats!$X$34,résultats!$X$48,résultats!$X$62,résultats!$X$76,résultats!$X$90,résultats!$X$104,résultats!$X$118,résultats!$X$132)</c:f>
              <c:numCache>
                <c:formatCode>0.00</c:formatCode>
                <c:ptCount val="9"/>
                <c:pt idx="0">
                  <c:v>1.46</c:v>
                </c:pt>
                <c:pt idx="1">
                  <c:v>1.53</c:v>
                </c:pt>
                <c:pt idx="2">
                  <c:v>1.55</c:v>
                </c:pt>
                <c:pt idx="3">
                  <c:v>1.58</c:v>
                </c:pt>
                <c:pt idx="4">
                  <c:v>1.62</c:v>
                </c:pt>
                <c:pt idx="5">
                  <c:v>1.72</c:v>
                </c:pt>
                <c:pt idx="6">
                  <c:v>1.82</c:v>
                </c:pt>
                <c:pt idx="7">
                  <c:v>1.94</c:v>
                </c:pt>
                <c:pt idx="8">
                  <c:v>2.2799999999999998</c:v>
                </c:pt>
              </c:numCache>
            </c:numRef>
          </c:yVal>
        </c:ser>
        <c:axId val="121143680"/>
        <c:axId val="121145216"/>
      </c:scatterChart>
      <c:valAx>
        <c:axId val="121143680"/>
        <c:scaling>
          <c:orientation val="minMax"/>
        </c:scaling>
        <c:axPos val="b"/>
        <c:numFmt formatCode="General" sourceLinked="1"/>
        <c:tickLblPos val="nextTo"/>
        <c:crossAx val="121145216"/>
        <c:crosses val="autoZero"/>
        <c:crossBetween val="midCat"/>
      </c:valAx>
      <c:valAx>
        <c:axId val="121145216"/>
        <c:scaling>
          <c:orientation val="minMax"/>
          <c:min val="1"/>
        </c:scaling>
        <c:axPos val="l"/>
        <c:majorGridlines/>
        <c:numFmt formatCode="0.00" sourceLinked="1"/>
        <c:tickLblPos val="nextTo"/>
        <c:crossAx val="121143680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4438535265670145"/>
          <c:y val="7.9558237038552723E-4"/>
          <c:w val="0.14441874259811399"/>
          <c:h val="0.99920441874044386"/>
        </c:manualLayout>
      </c:layout>
    </c:legend>
    <c:plotVisOnly val="1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7.1441304358531174E-2"/>
          <c:y val="1.6881105629431362E-2"/>
          <c:w val="0.72477119065558482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(résultats!$T$7,résultats!$T$21,résultats!$T$35,résultats!$T$49,résultats!$T$63,résultats!$T$77,résultats!$T$91,résultats!$T$105,résultats!$T$119,résultats!$T$133)</c:f>
              <c:numCache>
                <c:formatCode>0.00</c:formatCode>
                <c:ptCount val="10"/>
                <c:pt idx="0">
                  <c:v>78.209999999999994</c:v>
                </c:pt>
                <c:pt idx="1">
                  <c:v>76.52</c:v>
                </c:pt>
                <c:pt idx="2">
                  <c:v>77.41</c:v>
                </c:pt>
                <c:pt idx="3">
                  <c:v>75.989999999999995</c:v>
                </c:pt>
                <c:pt idx="4">
                  <c:v>75.760000000000005</c:v>
                </c:pt>
                <c:pt idx="5">
                  <c:v>75.34</c:v>
                </c:pt>
                <c:pt idx="6">
                  <c:v>75.08</c:v>
                </c:pt>
                <c:pt idx="7">
                  <c:v>74.709999999999994</c:v>
                </c:pt>
                <c:pt idx="8">
                  <c:v>72.41</c:v>
                </c:pt>
                <c:pt idx="9">
                  <c:v>70.98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(résultats!$T$8,résultats!$T$22,résultats!$T$36,résultats!$T$50,résultats!$T$64,résultats!$T$78,résultats!$T$92,résultats!$T$106,résultats!$T$134)</c:f>
              <c:numCache>
                <c:formatCode>0.00</c:formatCode>
                <c:ptCount val="9"/>
                <c:pt idx="0">
                  <c:v>77.2</c:v>
                </c:pt>
                <c:pt idx="1">
                  <c:v>78.28</c:v>
                </c:pt>
                <c:pt idx="2">
                  <c:v>75.63</c:v>
                </c:pt>
                <c:pt idx="3">
                  <c:v>75.63</c:v>
                </c:pt>
                <c:pt idx="4">
                  <c:v>75.3</c:v>
                </c:pt>
                <c:pt idx="5">
                  <c:v>75.459999999999994</c:v>
                </c:pt>
                <c:pt idx="6">
                  <c:v>74.7</c:v>
                </c:pt>
                <c:pt idx="7">
                  <c:v>74.180000000000007</c:v>
                </c:pt>
                <c:pt idx="8">
                  <c:v>72.72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(résultats!$T$9,résultats!$T$23,résultats!$T$37,résultats!$T$51,résultats!$T$65,résultats!$T$79,résultats!$T$93,résultats!$T$107,résultats!$T$121,résultats!$T$135,résultats!$T$149)</c:f>
              <c:numCache>
                <c:formatCode>0.00</c:formatCode>
                <c:ptCount val="11"/>
                <c:pt idx="0">
                  <c:v>79.45</c:v>
                </c:pt>
                <c:pt idx="1">
                  <c:v>77.489999999999995</c:v>
                </c:pt>
                <c:pt idx="2">
                  <c:v>77.739999999999995</c:v>
                </c:pt>
                <c:pt idx="3">
                  <c:v>77.39</c:v>
                </c:pt>
                <c:pt idx="4">
                  <c:v>77.06</c:v>
                </c:pt>
                <c:pt idx="5">
                  <c:v>76.92</c:v>
                </c:pt>
                <c:pt idx="6">
                  <c:v>76.53</c:v>
                </c:pt>
                <c:pt idx="7">
                  <c:v>76.11</c:v>
                </c:pt>
                <c:pt idx="8">
                  <c:v>75.900000000000006</c:v>
                </c:pt>
                <c:pt idx="9">
                  <c:v>75.319999999999993</c:v>
                </c:pt>
                <c:pt idx="10">
                  <c:v>71.88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(résultats!$T$24,résultats!$T$38,résultats!$T$52,résultats!$T$66,résultats!$T$80,résultats!$T$94,résultats!$T$108,résultats!$T$122,résultats!$T$136,résultats!$T$150)</c:f>
              <c:numCache>
                <c:formatCode>0.00</c:formatCode>
                <c:ptCount val="10"/>
                <c:pt idx="0">
                  <c:v>80.459999999999994</c:v>
                </c:pt>
                <c:pt idx="1">
                  <c:v>80.209999999999994</c:v>
                </c:pt>
                <c:pt idx="2">
                  <c:v>77.53</c:v>
                </c:pt>
                <c:pt idx="3">
                  <c:v>77.47</c:v>
                </c:pt>
                <c:pt idx="4">
                  <c:v>77.39</c:v>
                </c:pt>
                <c:pt idx="5">
                  <c:v>77.38</c:v>
                </c:pt>
                <c:pt idx="6">
                  <c:v>81.17</c:v>
                </c:pt>
                <c:pt idx="7">
                  <c:v>76.040000000000006</c:v>
                </c:pt>
                <c:pt idx="8">
                  <c:v>75.3</c:v>
                </c:pt>
                <c:pt idx="9">
                  <c:v>80.209999999999994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(résultats!$T$11,résultats!$T$25,résultats!$T$39,résultats!$T$53,résultats!$T$67,résultats!$T$81,résultats!$T$95)</c:f>
              <c:numCache>
                <c:formatCode>0.00</c:formatCode>
                <c:ptCount val="7"/>
                <c:pt idx="0">
                  <c:v>77.77</c:v>
                </c:pt>
                <c:pt idx="1">
                  <c:v>76.81</c:v>
                </c:pt>
                <c:pt idx="2">
                  <c:v>76.77</c:v>
                </c:pt>
                <c:pt idx="3">
                  <c:v>77.44</c:v>
                </c:pt>
                <c:pt idx="4">
                  <c:v>75.239999999999995</c:v>
                </c:pt>
                <c:pt idx="5">
                  <c:v>74.87</c:v>
                </c:pt>
                <c:pt idx="6">
                  <c:v>73.83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(résultats!$T$12,résultats!$T$26,résultats!$T$40,résultats!$T$54,résultats!$T$68,résultats!$T$82,résultats!$T$96,résultats!$T$110,résultats!$T$124)</c:f>
              <c:numCache>
                <c:formatCode>0.00</c:formatCode>
                <c:ptCount val="9"/>
                <c:pt idx="0">
                  <c:v>76.95</c:v>
                </c:pt>
                <c:pt idx="1">
                  <c:v>76.19</c:v>
                </c:pt>
                <c:pt idx="2">
                  <c:v>76.2</c:v>
                </c:pt>
                <c:pt idx="3">
                  <c:v>75.8</c:v>
                </c:pt>
                <c:pt idx="4">
                  <c:v>75.61</c:v>
                </c:pt>
                <c:pt idx="5">
                  <c:v>77.12</c:v>
                </c:pt>
                <c:pt idx="6">
                  <c:v>75.02</c:v>
                </c:pt>
                <c:pt idx="7">
                  <c:v>73.92</c:v>
                </c:pt>
                <c:pt idx="8">
                  <c:v>71.17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(résultats!$T$13,résultats!$T$27,résultats!$T$41,résultats!$T$55,résultats!$T$69,résultats!$T$83,résultats!$T$97,résultats!$T$111)</c:f>
              <c:numCache>
                <c:formatCode>0.00</c:formatCode>
                <c:ptCount val="8"/>
                <c:pt idx="0">
                  <c:v>77.16</c:v>
                </c:pt>
                <c:pt idx="1">
                  <c:v>75.8</c:v>
                </c:pt>
                <c:pt idx="2">
                  <c:v>77.150000000000006</c:v>
                </c:pt>
                <c:pt idx="3">
                  <c:v>75.75</c:v>
                </c:pt>
                <c:pt idx="4">
                  <c:v>75.290000000000006</c:v>
                </c:pt>
                <c:pt idx="5">
                  <c:v>74.650000000000006</c:v>
                </c:pt>
                <c:pt idx="6">
                  <c:v>73.260000000000005</c:v>
                </c:pt>
                <c:pt idx="7">
                  <c:v>70.22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(résultats!$T$14,résultats!$T$28,résultats!$T$42,résultats!$T$56,résultats!$T$70,résultats!$T$84,résultats!$T$98,résultats!$T$112,résultats!$T$126)</c:f>
              <c:numCache>
                <c:formatCode>0.00</c:formatCode>
                <c:ptCount val="9"/>
                <c:pt idx="0">
                  <c:v>77.790000000000006</c:v>
                </c:pt>
                <c:pt idx="1">
                  <c:v>75.73</c:v>
                </c:pt>
                <c:pt idx="2">
                  <c:v>75.92</c:v>
                </c:pt>
                <c:pt idx="3">
                  <c:v>76.87</c:v>
                </c:pt>
                <c:pt idx="4">
                  <c:v>75.61</c:v>
                </c:pt>
                <c:pt idx="5">
                  <c:v>75.17</c:v>
                </c:pt>
                <c:pt idx="6">
                  <c:v>74.959999999999994</c:v>
                </c:pt>
                <c:pt idx="7">
                  <c:v>74.41</c:v>
                </c:pt>
                <c:pt idx="8">
                  <c:v>72.33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(résultats!$T$29,résultats!$T$43,résultats!$T$57,résultats!$T$71,résultats!$T$85,résultats!$T$99,résultats!$T$113,résultats!$T$127,résultats!$T$141)</c:f>
              <c:numCache>
                <c:formatCode>0.00</c:formatCode>
                <c:ptCount val="9"/>
                <c:pt idx="0">
                  <c:v>76.38</c:v>
                </c:pt>
                <c:pt idx="1">
                  <c:v>76.56</c:v>
                </c:pt>
                <c:pt idx="2">
                  <c:v>76.459999999999994</c:v>
                </c:pt>
                <c:pt idx="3">
                  <c:v>76.099999999999994</c:v>
                </c:pt>
                <c:pt idx="4">
                  <c:v>76.19</c:v>
                </c:pt>
                <c:pt idx="5">
                  <c:v>75.489999999999995</c:v>
                </c:pt>
                <c:pt idx="6">
                  <c:v>74.62</c:v>
                </c:pt>
                <c:pt idx="7">
                  <c:v>69.62</c:v>
                </c:pt>
                <c:pt idx="8">
                  <c:v>69.41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(résultats!$T$16,résultats!$T$30,résultats!$T$44,résultats!$T$58,résultats!$T$72,résultats!$T$86,résultats!$T$100,résultats!$T$114)</c:f>
              <c:numCache>
                <c:formatCode>0.00</c:formatCode>
                <c:ptCount val="8"/>
                <c:pt idx="0">
                  <c:v>77.95</c:v>
                </c:pt>
                <c:pt idx="1">
                  <c:v>75.930000000000007</c:v>
                </c:pt>
                <c:pt idx="2">
                  <c:v>75.58</c:v>
                </c:pt>
                <c:pt idx="3">
                  <c:v>75.349999999999994</c:v>
                </c:pt>
                <c:pt idx="4">
                  <c:v>74.900000000000006</c:v>
                </c:pt>
                <c:pt idx="5">
                  <c:v>74.63</c:v>
                </c:pt>
                <c:pt idx="6">
                  <c:v>72.81</c:v>
                </c:pt>
                <c:pt idx="7">
                  <c:v>69.989999999999995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(résultats!$T$17,résultats!$T$31,résultats!$T$45,résultats!$T$59,résultats!$T$73,résultats!$T$87)</c:f>
              <c:numCache>
                <c:formatCode>0.00</c:formatCode>
                <c:ptCount val="6"/>
                <c:pt idx="0">
                  <c:v>77.67</c:v>
                </c:pt>
                <c:pt idx="1">
                  <c:v>76.430000000000007</c:v>
                </c:pt>
                <c:pt idx="2">
                  <c:v>76.040000000000006</c:v>
                </c:pt>
                <c:pt idx="3">
                  <c:v>75.17</c:v>
                </c:pt>
                <c:pt idx="4">
                  <c:v>74.17</c:v>
                </c:pt>
                <c:pt idx="5">
                  <c:v>73.569999999999993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(résultats!$T$18,résultats!$T$32,résultats!$T$46,résultats!$T$60,résultats!$T$74,résultats!$T$88)</c:f>
              <c:numCache>
                <c:formatCode>0.00</c:formatCode>
                <c:ptCount val="6"/>
                <c:pt idx="0">
                  <c:v>77.989999999999995</c:v>
                </c:pt>
                <c:pt idx="1">
                  <c:v>76.040000000000006</c:v>
                </c:pt>
                <c:pt idx="2">
                  <c:v>76.03</c:v>
                </c:pt>
                <c:pt idx="3">
                  <c:v>74.84</c:v>
                </c:pt>
                <c:pt idx="4">
                  <c:v>74.319999999999993</c:v>
                </c:pt>
                <c:pt idx="5">
                  <c:v>69.39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(résultats!$T$19,résultats!$T$33,résultats!$T$47,résultats!$T$61,résultats!$T$75,résultats!$T$89,résultats!$T$103,résultats!$T$117,résultats!$T$131)</c:f>
              <c:numCache>
                <c:formatCode>0.00</c:formatCode>
                <c:ptCount val="9"/>
                <c:pt idx="0">
                  <c:v>78.2</c:v>
                </c:pt>
                <c:pt idx="1">
                  <c:v>76.989999999999995</c:v>
                </c:pt>
                <c:pt idx="2">
                  <c:v>77.040000000000006</c:v>
                </c:pt>
                <c:pt idx="3">
                  <c:v>76.8</c:v>
                </c:pt>
                <c:pt idx="4">
                  <c:v>76.58</c:v>
                </c:pt>
                <c:pt idx="5">
                  <c:v>77.56</c:v>
                </c:pt>
                <c:pt idx="6">
                  <c:v>75.319999999999993</c:v>
                </c:pt>
                <c:pt idx="7">
                  <c:v>74.989999999999995</c:v>
                </c:pt>
                <c:pt idx="8">
                  <c:v>71.900000000000006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(résultats!$T$20,résultats!$T$34,résultats!$T$48,résultats!$T$62,résultats!$T$76,résultats!$T$90,résultats!$T$104,résultats!$T$118,résultats!$T$132,résultats!$T$146)</c:f>
              <c:numCache>
                <c:formatCode>0.00</c:formatCode>
                <c:ptCount val="10"/>
                <c:pt idx="0">
                  <c:v>78.16</c:v>
                </c:pt>
                <c:pt idx="1">
                  <c:v>77.180000000000007</c:v>
                </c:pt>
                <c:pt idx="2">
                  <c:v>77.19</c:v>
                </c:pt>
                <c:pt idx="3">
                  <c:v>77.14</c:v>
                </c:pt>
                <c:pt idx="4">
                  <c:v>76.98</c:v>
                </c:pt>
                <c:pt idx="5">
                  <c:v>78.14</c:v>
                </c:pt>
                <c:pt idx="6">
                  <c:v>75.52</c:v>
                </c:pt>
                <c:pt idx="7">
                  <c:v>74.45</c:v>
                </c:pt>
                <c:pt idx="8">
                  <c:v>72.430000000000007</c:v>
                </c:pt>
                <c:pt idx="9">
                  <c:v>71.8</c:v>
                </c:pt>
              </c:numCache>
            </c:numRef>
          </c:yVal>
        </c:ser>
        <c:axId val="121272192"/>
        <c:axId val="121273728"/>
      </c:scatterChart>
      <c:valAx>
        <c:axId val="121272192"/>
        <c:scaling>
          <c:orientation val="minMax"/>
        </c:scaling>
        <c:axPos val="b"/>
        <c:numFmt formatCode="General" sourceLinked="1"/>
        <c:tickLblPos val="nextTo"/>
        <c:crossAx val="121273728"/>
        <c:crosses val="autoZero"/>
        <c:crossBetween val="midCat"/>
      </c:valAx>
      <c:valAx>
        <c:axId val="121273728"/>
        <c:scaling>
          <c:orientation val="minMax"/>
        </c:scaling>
        <c:axPos val="l"/>
        <c:majorGridlines/>
        <c:numFmt formatCode="0.00" sourceLinked="1"/>
        <c:tickLblPos val="nextTo"/>
        <c:crossAx val="121272192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2799407109758993"/>
          <c:y val="7.9560643154900489E-4"/>
          <c:w val="8.4381183121340589E-2"/>
          <c:h val="0.99920441874044386"/>
        </c:manualLayout>
      </c:layout>
    </c:legend>
    <c:plotVisOnly val="1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>
        <c:manualLayout>
          <c:layoutTarget val="inner"/>
          <c:xMode val="edge"/>
          <c:yMode val="edge"/>
          <c:x val="7.1441304358531174E-2"/>
          <c:y val="1.6881105629431375E-2"/>
          <c:w val="0.72477119065558526"/>
          <c:h val="0.91287678995148058"/>
        </c:manualLayout>
      </c:layout>
      <c:scatterChart>
        <c:scatterStyle val="lineMarker"/>
        <c:ser>
          <c:idx val="0"/>
          <c:order val="0"/>
          <c:tx>
            <c:v>0025E2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(résultats!$D$7,résultats!$D$21,résultats!$D$35,résultats!$D$49,résultats!$D$63,résultats!$D$77,résultats!$D$91,résultats!$D$105,résultats!$D$119,résultats!$D$133)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(résultats!$S$7,résultats!$S$21,résultats!$S$35,résultats!$S$49,résultats!$S$63,résultats!$S$77,résultats!$S$91,résultats!$S$105,résultats!$S$119,résultats!$S$133)</c:f>
              <c:numCache>
                <c:formatCode>0.00</c:formatCode>
                <c:ptCount val="10"/>
                <c:pt idx="0">
                  <c:v>71.97</c:v>
                </c:pt>
                <c:pt idx="1">
                  <c:v>70.25</c:v>
                </c:pt>
                <c:pt idx="2">
                  <c:v>69.39</c:v>
                </c:pt>
                <c:pt idx="3">
                  <c:v>69.430000000000007</c:v>
                </c:pt>
                <c:pt idx="4">
                  <c:v>68.930000000000007</c:v>
                </c:pt>
                <c:pt idx="5">
                  <c:v>68.37</c:v>
                </c:pt>
                <c:pt idx="6">
                  <c:v>68.03</c:v>
                </c:pt>
                <c:pt idx="7">
                  <c:v>67.36</c:v>
                </c:pt>
                <c:pt idx="8">
                  <c:v>65.459999999999994</c:v>
                </c:pt>
                <c:pt idx="9">
                  <c:v>63.62</c:v>
                </c:pt>
              </c:numCache>
            </c:numRef>
          </c:yVal>
        </c:ser>
        <c:ser>
          <c:idx val="1"/>
          <c:order val="1"/>
          <c:tx>
            <c:v>0025E4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(résultats!$D$8,résultats!$D$22,résultats!$D$36,résultats!$D$50,résultats!$D$64,résultats!$D$78,résultats!$D$92,résultats!$D$106,résultats!$D$134)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101389</c:v>
                </c:pt>
              </c:numCache>
            </c:numRef>
          </c:xVal>
          <c:yVal>
            <c:numRef>
              <c:f>(résultats!$S$8,résultats!$S$22,résultats!$S$36,résultats!$S$50,résultats!$S$64,résultats!$S$78,résultats!$S$92,résultats!$S$106)</c:f>
              <c:numCache>
                <c:formatCode>0.00</c:formatCode>
                <c:ptCount val="8"/>
                <c:pt idx="0">
                  <c:v>71.27</c:v>
                </c:pt>
                <c:pt idx="1">
                  <c:v>70</c:v>
                </c:pt>
                <c:pt idx="2">
                  <c:v>69.59</c:v>
                </c:pt>
                <c:pt idx="3">
                  <c:v>50.19</c:v>
                </c:pt>
                <c:pt idx="4">
                  <c:v>68.94</c:v>
                </c:pt>
                <c:pt idx="5">
                  <c:v>68.569999999999993</c:v>
                </c:pt>
                <c:pt idx="6">
                  <c:v>67.959999999999994</c:v>
                </c:pt>
                <c:pt idx="7">
                  <c:v>67.33</c:v>
                </c:pt>
              </c:numCache>
            </c:numRef>
          </c:yVal>
        </c:ser>
        <c:ser>
          <c:idx val="2"/>
          <c:order val="2"/>
          <c:tx>
            <c:v>0244E1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(résultats!$D$9,résultats!$D$23,résultats!$D$37,résultats!$D$51,résultats!$D$65,résultats!$D$79,résultats!$D$93,résultats!$D$107,résultats!$D$121,résultats!$D$135,résultats!$D$149)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(résultats!$S$9,résultats!$S$23,résultats!$S$37,résultats!$S$51,résultats!$S$65,résultats!$S$79,résultats!$S$93,résultats!$S$107,résultats!$S$121,résultats!$S$135,résultats!$S$149)</c:f>
              <c:numCache>
                <c:formatCode>0.00</c:formatCode>
                <c:ptCount val="11"/>
                <c:pt idx="0">
                  <c:v>72.739999999999995</c:v>
                </c:pt>
                <c:pt idx="1">
                  <c:v>71.94</c:v>
                </c:pt>
                <c:pt idx="2">
                  <c:v>71.78</c:v>
                </c:pt>
                <c:pt idx="3">
                  <c:v>71.41</c:v>
                </c:pt>
                <c:pt idx="4">
                  <c:v>70.91</c:v>
                </c:pt>
                <c:pt idx="5">
                  <c:v>70.36</c:v>
                </c:pt>
                <c:pt idx="6">
                  <c:v>69.95</c:v>
                </c:pt>
                <c:pt idx="7">
                  <c:v>69.209999999999994</c:v>
                </c:pt>
                <c:pt idx="8">
                  <c:v>68.459999999999994</c:v>
                </c:pt>
                <c:pt idx="9">
                  <c:v>67.14</c:v>
                </c:pt>
                <c:pt idx="10">
                  <c:v>65.760000000000005</c:v>
                </c:pt>
              </c:numCache>
            </c:numRef>
          </c:yVal>
        </c:ser>
        <c:ser>
          <c:idx val="3"/>
          <c:order val="3"/>
          <c:tx>
            <c:v>0374E3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(résultats!$D$24,résultats!$D$38,résultats!$D$52,résultats!$D$66,résultats!$D$80,résultats!$D$94,résultats!$D$108,résultats!$D$122,résultats!$D$136,résultats!$D$150)</c:f>
              <c:numCache>
                <c:formatCode>General</c:formatCode>
                <c:ptCount val="10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  <c:pt idx="9">
                  <c:v>112639</c:v>
                </c:pt>
              </c:numCache>
            </c:numRef>
          </c:xVal>
          <c:yVal>
            <c:numRef>
              <c:f>(résultats!$S$24,résultats!$S$38,résultats!$S$52,résultats!$S$66,résultats!$S$80,résultats!$S$94,résultats!$S$108,résultats!$S$122,résultats!$S$136,résultats!$S$150)</c:f>
              <c:numCache>
                <c:formatCode>0.00</c:formatCode>
                <c:ptCount val="10"/>
                <c:pt idx="0">
                  <c:v>72.92</c:v>
                </c:pt>
                <c:pt idx="1">
                  <c:v>71.97</c:v>
                </c:pt>
                <c:pt idx="2">
                  <c:v>71.709999999999994</c:v>
                </c:pt>
                <c:pt idx="3">
                  <c:v>70.98</c:v>
                </c:pt>
                <c:pt idx="4">
                  <c:v>70.510000000000005</c:v>
                </c:pt>
                <c:pt idx="5">
                  <c:v>70.069999999999993</c:v>
                </c:pt>
                <c:pt idx="6">
                  <c:v>71.349999999999994</c:v>
                </c:pt>
                <c:pt idx="7">
                  <c:v>69.02</c:v>
                </c:pt>
                <c:pt idx="8">
                  <c:v>68.08</c:v>
                </c:pt>
                <c:pt idx="9">
                  <c:v>76.010000000000005</c:v>
                </c:pt>
              </c:numCache>
            </c:numRef>
          </c:yVal>
        </c:ser>
        <c:ser>
          <c:idx val="4"/>
          <c:order val="4"/>
          <c:tx>
            <c:v>0429E2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(résultats!$D$11,résultats!$D$25,résultats!$D$39,résultats!$D$53,résultats!$D$67,résultats!$D$81,résultats!$D$95,résultats!$D$109,résultats!$D$123,résultats!$D$137,résultats!$D$151)</c:f>
              <c:numCache>
                <c:formatCode>General</c:formatCode>
                <c:ptCount val="11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  <c:pt idx="10">
                  <c:v>112639</c:v>
                </c:pt>
              </c:numCache>
            </c:numRef>
          </c:xVal>
          <c:yVal>
            <c:numRef>
              <c:f>(résultats!$S$11,résultats!$S$25,résultats!$S$39,résultats!$S$53,résultats!$S$67,résultats!$S$81,résultats!$S$95)</c:f>
              <c:numCache>
                <c:formatCode>0.00</c:formatCode>
                <c:ptCount val="7"/>
                <c:pt idx="0">
                  <c:v>70.84</c:v>
                </c:pt>
                <c:pt idx="1">
                  <c:v>69.739999999999995</c:v>
                </c:pt>
                <c:pt idx="2">
                  <c:v>69.38</c:v>
                </c:pt>
                <c:pt idx="3">
                  <c:v>69.69</c:v>
                </c:pt>
                <c:pt idx="4">
                  <c:v>68.53</c:v>
                </c:pt>
                <c:pt idx="5">
                  <c:v>67.930000000000007</c:v>
                </c:pt>
                <c:pt idx="6">
                  <c:v>66.81</c:v>
                </c:pt>
              </c:numCache>
            </c:numRef>
          </c:yVal>
        </c:ser>
        <c:ser>
          <c:idx val="5"/>
          <c:order val="5"/>
          <c:tx>
            <c:v>0429E4</c:v>
          </c:tx>
          <c:spPr>
            <a:ln>
              <a:solidFill>
                <a:srgbClr val="87F325"/>
              </a:solidFill>
            </a:ln>
          </c:spPr>
          <c:marker>
            <c:symbol val="none"/>
          </c:marker>
          <c:xVal>
            <c:numRef>
              <c:f>(résultats!$D$12,résultats!$D$26,résultats!$D$40,résultats!$D$54,résultats!$D$68,résultats!$D$82,résultats!$D$96,résultats!$D$110,résultats!$D$124)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(résultats!$S$12,résultats!$S$26,résultats!$S$40,résultats!$S$54,résultats!$S$68,résultats!$S$82,résultats!$S$96,résultats!$S$110,résultats!$S$124)</c:f>
              <c:numCache>
                <c:formatCode>0.00</c:formatCode>
                <c:ptCount val="9"/>
                <c:pt idx="0">
                  <c:v>71.430000000000007</c:v>
                </c:pt>
                <c:pt idx="1">
                  <c:v>70.08</c:v>
                </c:pt>
                <c:pt idx="2">
                  <c:v>69.790000000000006</c:v>
                </c:pt>
                <c:pt idx="3">
                  <c:v>69.319999999999993</c:v>
                </c:pt>
                <c:pt idx="4">
                  <c:v>68.86</c:v>
                </c:pt>
                <c:pt idx="5">
                  <c:v>69.72</c:v>
                </c:pt>
                <c:pt idx="6">
                  <c:v>68.13</c:v>
                </c:pt>
                <c:pt idx="7">
                  <c:v>66.8</c:v>
                </c:pt>
                <c:pt idx="8">
                  <c:v>64.39</c:v>
                </c:pt>
              </c:numCache>
            </c:numRef>
          </c:yVal>
        </c:ser>
        <c:ser>
          <c:idx val="6"/>
          <c:order val="6"/>
          <c:tx>
            <c:v>0532E1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(résultats!$D$13,résultats!$D$27,résultats!$D$41,résultats!$D$55,résultats!$D$69,résultats!$D$83,résultats!$D$97,résultats!$D$111)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(résultats!$S$13,résultats!$S$27,résultats!$S$41,résultats!$S$55,résultats!$S$69,résultats!$S$83,résultats!$S$97,résultats!$S$111)</c:f>
              <c:numCache>
                <c:formatCode>0.00</c:formatCode>
                <c:ptCount val="8"/>
                <c:pt idx="0">
                  <c:v>71.150000000000006</c:v>
                </c:pt>
                <c:pt idx="1">
                  <c:v>69.92</c:v>
                </c:pt>
                <c:pt idx="2">
                  <c:v>69.48</c:v>
                </c:pt>
                <c:pt idx="3">
                  <c:v>69.489999999999995</c:v>
                </c:pt>
                <c:pt idx="4">
                  <c:v>68.989999999999995</c:v>
                </c:pt>
                <c:pt idx="5">
                  <c:v>68.150000000000006</c:v>
                </c:pt>
                <c:pt idx="6">
                  <c:v>66.39</c:v>
                </c:pt>
                <c:pt idx="7">
                  <c:v>62.71</c:v>
                </c:pt>
              </c:numCache>
            </c:numRef>
          </c:yVal>
        </c:ser>
        <c:ser>
          <c:idx val="7"/>
          <c:order val="7"/>
          <c:tx>
            <c:v>0532E4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(résultats!$D$14,résultats!$D$28,résultats!$D$42,résultats!$D$56,résultats!$D$70,résultats!$D$84,résultats!$D$98,résultats!$D$112,résultats!$D$126)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(résultats!$S$14,résultats!$S$28,résultats!$S$42,résultats!$S$56,résultats!$S$70,résultats!$S$84,résultats!$S$98,résultats!$S$112,résultats!$S$126)</c:f>
              <c:numCache>
                <c:formatCode>0.00</c:formatCode>
                <c:ptCount val="9"/>
                <c:pt idx="0">
                  <c:v>71.67</c:v>
                </c:pt>
                <c:pt idx="1">
                  <c:v>69.38</c:v>
                </c:pt>
                <c:pt idx="2">
                  <c:v>68.92</c:v>
                </c:pt>
                <c:pt idx="3">
                  <c:v>68.89</c:v>
                </c:pt>
                <c:pt idx="4">
                  <c:v>68.930000000000007</c:v>
                </c:pt>
                <c:pt idx="5">
                  <c:v>68.08</c:v>
                </c:pt>
                <c:pt idx="6">
                  <c:v>67.53</c:v>
                </c:pt>
                <c:pt idx="7">
                  <c:v>66.510000000000005</c:v>
                </c:pt>
                <c:pt idx="8">
                  <c:v>65.05</c:v>
                </c:pt>
              </c:numCache>
            </c:numRef>
          </c:yVal>
        </c:ser>
        <c:ser>
          <c:idx val="8"/>
          <c:order val="8"/>
          <c:tx>
            <c:v>0575E2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(résultats!$D$29,résultats!$D$43,résultats!$D$57,résultats!$D$71,résultats!$D$85,résultats!$D$99,résultats!$D$113,résultats!$D$127,résultats!$D$141)</c:f>
              <c:numCache>
                <c:formatCode>General</c:formatCode>
                <c:ptCount val="9"/>
                <c:pt idx="0">
                  <c:v>11389</c:v>
                </c:pt>
                <c:pt idx="1">
                  <c:v>22639</c:v>
                </c:pt>
                <c:pt idx="2">
                  <c:v>33889</c:v>
                </c:pt>
                <c:pt idx="3">
                  <c:v>45139</c:v>
                </c:pt>
                <c:pt idx="4">
                  <c:v>56389</c:v>
                </c:pt>
                <c:pt idx="5">
                  <c:v>67639</c:v>
                </c:pt>
                <c:pt idx="6">
                  <c:v>78889</c:v>
                </c:pt>
                <c:pt idx="7">
                  <c:v>90139</c:v>
                </c:pt>
                <c:pt idx="8">
                  <c:v>101389</c:v>
                </c:pt>
              </c:numCache>
            </c:numRef>
          </c:xVal>
          <c:yVal>
            <c:numRef>
              <c:f>(résultats!$S$29,résultats!$S$43,résultats!$S$57,résultats!$S$71,résultats!$S$85,résultats!$S$99,résultats!$S$113,résultats!$S$127,résultats!$S$141)</c:f>
              <c:numCache>
                <c:formatCode>0.00</c:formatCode>
                <c:ptCount val="9"/>
                <c:pt idx="0">
                  <c:v>70.47</c:v>
                </c:pt>
                <c:pt idx="1">
                  <c:v>70.39</c:v>
                </c:pt>
                <c:pt idx="2">
                  <c:v>69.989999999999995</c:v>
                </c:pt>
                <c:pt idx="3">
                  <c:v>69.489999999999995</c:v>
                </c:pt>
                <c:pt idx="4">
                  <c:v>69.260000000000005</c:v>
                </c:pt>
                <c:pt idx="5">
                  <c:v>68.75</c:v>
                </c:pt>
                <c:pt idx="6">
                  <c:v>67.31</c:v>
                </c:pt>
                <c:pt idx="7">
                  <c:v>63.3</c:v>
                </c:pt>
                <c:pt idx="8">
                  <c:v>63.2</c:v>
                </c:pt>
              </c:numCache>
            </c:numRef>
          </c:yVal>
        </c:ser>
        <c:ser>
          <c:idx val="9"/>
          <c:order val="9"/>
          <c:tx>
            <c:v>0575E4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(résultats!$D$16,résultats!$D$30,résultats!$D$44,résultats!$D$58,résultats!$D$72,résultats!$D$86,résultats!$D$100,résultats!$D$114)</c:f>
              <c:numCache>
                <c:formatCode>General</c:formatCode>
                <c:ptCount val="8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</c:numCache>
            </c:numRef>
          </c:xVal>
          <c:yVal>
            <c:numRef>
              <c:f>(résultats!$S$16,résultats!$S$30,résultats!$S$44,résultats!$S$58,résultats!$S$72,résultats!$S$86,résultats!$S$100,résultats!$S$114)</c:f>
              <c:numCache>
                <c:formatCode>0.00</c:formatCode>
                <c:ptCount val="8"/>
                <c:pt idx="0">
                  <c:v>70.819999999999993</c:v>
                </c:pt>
                <c:pt idx="1">
                  <c:v>69.56</c:v>
                </c:pt>
                <c:pt idx="2">
                  <c:v>69.239999999999995</c:v>
                </c:pt>
                <c:pt idx="3">
                  <c:v>68.83</c:v>
                </c:pt>
                <c:pt idx="4">
                  <c:v>78.3</c:v>
                </c:pt>
                <c:pt idx="5">
                  <c:v>67.53</c:v>
                </c:pt>
                <c:pt idx="6">
                  <c:v>65.25</c:v>
                </c:pt>
                <c:pt idx="7">
                  <c:v>61.98</c:v>
                </c:pt>
              </c:numCache>
            </c:numRef>
          </c:yVal>
        </c:ser>
        <c:ser>
          <c:idx val="10"/>
          <c:order val="10"/>
          <c:tx>
            <c:v>0639E1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(résultats!$D$17,résultats!$D$31,résultats!$D$45,résultats!$D$59,résultats!$D$73,résultats!$D$87)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(résultats!$S$17,résultats!$S$31,résultats!$S$45,résultats!$S$59,résultats!$S$73,résultats!$S$87)</c:f>
              <c:numCache>
                <c:formatCode>0.00</c:formatCode>
                <c:ptCount val="6"/>
                <c:pt idx="0">
                  <c:v>71.86</c:v>
                </c:pt>
                <c:pt idx="1">
                  <c:v>70.040000000000006</c:v>
                </c:pt>
                <c:pt idx="2">
                  <c:v>69.42</c:v>
                </c:pt>
                <c:pt idx="3">
                  <c:v>68.03</c:v>
                </c:pt>
                <c:pt idx="4">
                  <c:v>66.48</c:v>
                </c:pt>
                <c:pt idx="5">
                  <c:v>65.010000000000005</c:v>
                </c:pt>
              </c:numCache>
            </c:numRef>
          </c:yVal>
        </c:ser>
        <c:ser>
          <c:idx val="11"/>
          <c:order val="11"/>
          <c:tx>
            <c:v>0639E4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(résultats!$D$18,résultats!$D$32,résultats!$D$46,résultats!$D$60,résultats!$D$74,résultats!$D$88)</c:f>
              <c:numCache>
                <c:formatCode>General</c:formatCode>
                <c:ptCount val="6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</c:numCache>
            </c:numRef>
          </c:xVal>
          <c:yVal>
            <c:numRef>
              <c:f>(résultats!$S$18,résultats!$S$32,résultats!$S$46,résultats!$S$60,résultats!$S$74,résultats!$S$88)</c:f>
              <c:numCache>
                <c:formatCode>0.00</c:formatCode>
                <c:ptCount val="6"/>
                <c:pt idx="0">
                  <c:v>70.819999999999993</c:v>
                </c:pt>
                <c:pt idx="1">
                  <c:v>69.8</c:v>
                </c:pt>
                <c:pt idx="2">
                  <c:v>68.88</c:v>
                </c:pt>
                <c:pt idx="3">
                  <c:v>68.11</c:v>
                </c:pt>
                <c:pt idx="4">
                  <c:v>67.069999999999993</c:v>
                </c:pt>
                <c:pt idx="5">
                  <c:v>61.87</c:v>
                </c:pt>
              </c:numCache>
            </c:numRef>
          </c:yVal>
        </c:ser>
        <c:ser>
          <c:idx val="12"/>
          <c:order val="12"/>
          <c:tx>
            <c:v>0699E2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(résultats!$D$19,résultats!$D$33,résultats!$D$47,résultats!$D$61,résultats!$D$75,résultats!$D$89,résultats!$D$103,résultats!$D$117,résultats!$D$131)</c:f>
              <c:numCache>
                <c:formatCode>General</c:formatCode>
                <c:ptCount val="9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</c:numCache>
            </c:numRef>
          </c:xVal>
          <c:yVal>
            <c:numRef>
              <c:f>(résultats!$S$19,résultats!$S$33,résultats!$S$47,résultats!$S$61,résultats!$S$75,résultats!$S$89,résultats!$S$103,résultats!$S$117,résultats!$S$131)</c:f>
              <c:numCache>
                <c:formatCode>0.00</c:formatCode>
                <c:ptCount val="9"/>
                <c:pt idx="0">
                  <c:v>72.75</c:v>
                </c:pt>
                <c:pt idx="1">
                  <c:v>71.05</c:v>
                </c:pt>
                <c:pt idx="2">
                  <c:v>70.930000000000007</c:v>
                </c:pt>
                <c:pt idx="3">
                  <c:v>70.28</c:v>
                </c:pt>
                <c:pt idx="4">
                  <c:v>69.78</c:v>
                </c:pt>
                <c:pt idx="5">
                  <c:v>69.709999999999994</c:v>
                </c:pt>
                <c:pt idx="6">
                  <c:v>68.44</c:v>
                </c:pt>
                <c:pt idx="7">
                  <c:v>67.73</c:v>
                </c:pt>
                <c:pt idx="8">
                  <c:v>65.11</c:v>
                </c:pt>
              </c:numCache>
            </c:numRef>
          </c:yVal>
        </c:ser>
        <c:ser>
          <c:idx val="13"/>
          <c:order val="13"/>
          <c:tx>
            <c:v>0699E3</c:v>
          </c:tx>
          <c:spPr>
            <a:ln>
              <a:solidFill>
                <a:srgbClr val="FF66CC"/>
              </a:solidFill>
            </a:ln>
          </c:spPr>
          <c:marker>
            <c:symbol val="none"/>
          </c:marker>
          <c:xVal>
            <c:numRef>
              <c:f>(résultats!$D$20,résultats!$D$34,résultats!$D$48,résultats!$D$62,résultats!$D$76,résultats!$D$90,résultats!$D$104,résultats!$D$118,résultats!$D$132,résultats!$D$146)</c:f>
              <c:numCache>
                <c:formatCode>General</c:formatCode>
                <c:ptCount val="10"/>
                <c:pt idx="0">
                  <c:v>139</c:v>
                </c:pt>
                <c:pt idx="1">
                  <c:v>11389</c:v>
                </c:pt>
                <c:pt idx="2">
                  <c:v>22639</c:v>
                </c:pt>
                <c:pt idx="3">
                  <c:v>33889</c:v>
                </c:pt>
                <c:pt idx="4">
                  <c:v>45139</c:v>
                </c:pt>
                <c:pt idx="5">
                  <c:v>56389</c:v>
                </c:pt>
                <c:pt idx="6">
                  <c:v>67639</c:v>
                </c:pt>
                <c:pt idx="7">
                  <c:v>78889</c:v>
                </c:pt>
                <c:pt idx="8">
                  <c:v>90139</c:v>
                </c:pt>
                <c:pt idx="9">
                  <c:v>101389</c:v>
                </c:pt>
              </c:numCache>
            </c:numRef>
          </c:xVal>
          <c:yVal>
            <c:numRef>
              <c:f>(résultats!$S$20,résultats!$S$34,résultats!$S$48,résultats!$S$62,résultats!$S$76,résultats!$S$90,résultats!$S$104,résultats!$S$118,résultats!$S$132,résultats!$S$146)</c:f>
              <c:numCache>
                <c:formatCode>0.00</c:formatCode>
                <c:ptCount val="10"/>
                <c:pt idx="0">
                  <c:v>72.48</c:v>
                </c:pt>
                <c:pt idx="1">
                  <c:v>71.14</c:v>
                </c:pt>
                <c:pt idx="2">
                  <c:v>70.89</c:v>
                </c:pt>
                <c:pt idx="3">
                  <c:v>70.47</c:v>
                </c:pt>
                <c:pt idx="4">
                  <c:v>70.06</c:v>
                </c:pt>
                <c:pt idx="5">
                  <c:v>70.78</c:v>
                </c:pt>
                <c:pt idx="6">
                  <c:v>67.84</c:v>
                </c:pt>
                <c:pt idx="7">
                  <c:v>67.42</c:v>
                </c:pt>
                <c:pt idx="8">
                  <c:v>65.75</c:v>
                </c:pt>
                <c:pt idx="9">
                  <c:v>60.38</c:v>
                </c:pt>
              </c:numCache>
            </c:numRef>
          </c:yVal>
        </c:ser>
        <c:axId val="121374208"/>
        <c:axId val="121375744"/>
      </c:scatterChart>
      <c:valAx>
        <c:axId val="121374208"/>
        <c:scaling>
          <c:orientation val="minMax"/>
        </c:scaling>
        <c:axPos val="b"/>
        <c:numFmt formatCode="General" sourceLinked="1"/>
        <c:tickLblPos val="nextTo"/>
        <c:crossAx val="121375744"/>
        <c:crosses val="autoZero"/>
        <c:crossBetween val="midCat"/>
      </c:valAx>
      <c:valAx>
        <c:axId val="121375744"/>
        <c:scaling>
          <c:orientation val="minMax"/>
          <c:min val="60"/>
        </c:scaling>
        <c:axPos val="l"/>
        <c:majorGridlines/>
        <c:numFmt formatCode="0.00" sourceLinked="1"/>
        <c:tickLblPos val="nextTo"/>
        <c:crossAx val="121374208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82799407109759016"/>
          <c:y val="7.9560643154900532E-4"/>
          <c:w val="8.4381183121340589E-2"/>
          <c:h val="0.99920441874044386"/>
        </c:manualLayout>
      </c:layout>
    </c:legend>
    <c:plotVisOnly val="1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86</xdr:row>
      <xdr:rowOff>76199</xdr:rowOff>
    </xdr:from>
    <xdr:to>
      <xdr:col>7</xdr:col>
      <xdr:colOff>133350</xdr:colOff>
      <xdr:row>103</xdr:row>
      <xdr:rowOff>57150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86</xdr:row>
      <xdr:rowOff>66675</xdr:rowOff>
    </xdr:from>
    <xdr:to>
      <xdr:col>13</xdr:col>
      <xdr:colOff>28575</xdr:colOff>
      <xdr:row>103</xdr:row>
      <xdr:rowOff>47626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104</xdr:row>
      <xdr:rowOff>0</xdr:rowOff>
    </xdr:from>
    <xdr:to>
      <xdr:col>7</xdr:col>
      <xdr:colOff>123825</xdr:colOff>
      <xdr:row>120</xdr:row>
      <xdr:rowOff>171451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104</xdr:row>
      <xdr:rowOff>0</xdr:rowOff>
    </xdr:from>
    <xdr:to>
      <xdr:col>13</xdr:col>
      <xdr:colOff>28575</xdr:colOff>
      <xdr:row>120</xdr:row>
      <xdr:rowOff>171451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95250</xdr:colOff>
      <xdr:row>122</xdr:row>
      <xdr:rowOff>0</xdr:rowOff>
    </xdr:from>
    <xdr:to>
      <xdr:col>7</xdr:col>
      <xdr:colOff>123825</xdr:colOff>
      <xdr:row>138</xdr:row>
      <xdr:rowOff>171451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122</xdr:row>
      <xdr:rowOff>0</xdr:rowOff>
    </xdr:from>
    <xdr:to>
      <xdr:col>13</xdr:col>
      <xdr:colOff>28575</xdr:colOff>
      <xdr:row>138</xdr:row>
      <xdr:rowOff>171451</xdr:rowOff>
    </xdr:to>
    <xdr:graphicFrame macro="">
      <xdr:nvGraphicFramePr>
        <xdr:cNvPr id="9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66675</xdr:colOff>
      <xdr:row>140</xdr:row>
      <xdr:rowOff>0</xdr:rowOff>
    </xdr:from>
    <xdr:to>
      <xdr:col>7</xdr:col>
      <xdr:colOff>95250</xdr:colOff>
      <xdr:row>156</xdr:row>
      <xdr:rowOff>171451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140</xdr:row>
      <xdr:rowOff>0</xdr:rowOff>
    </xdr:from>
    <xdr:to>
      <xdr:col>13</xdr:col>
      <xdr:colOff>28575</xdr:colOff>
      <xdr:row>156</xdr:row>
      <xdr:rowOff>171451</xdr:rowOff>
    </xdr:to>
    <xdr:graphicFrame macro="">
      <xdr:nvGraphicFramePr>
        <xdr:cNvPr id="11" name="Graphique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161925</xdr:colOff>
      <xdr:row>41</xdr:row>
      <xdr:rowOff>19049</xdr:rowOff>
    </xdr:from>
    <xdr:to>
      <xdr:col>20</xdr:col>
      <xdr:colOff>571500</xdr:colOff>
      <xdr:row>53</xdr:row>
      <xdr:rowOff>95249</xdr:rowOff>
    </xdr:to>
    <xdr:graphicFrame macro="">
      <xdr:nvGraphicFramePr>
        <xdr:cNvPr id="14" name="Graphique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28575</xdr:colOff>
      <xdr:row>53</xdr:row>
      <xdr:rowOff>104774</xdr:rowOff>
    </xdr:from>
    <xdr:to>
      <xdr:col>15</xdr:col>
      <xdr:colOff>752476</xdr:colOff>
      <xdr:row>69</xdr:row>
      <xdr:rowOff>57150</xdr:rowOff>
    </xdr:to>
    <xdr:graphicFrame macro="">
      <xdr:nvGraphicFramePr>
        <xdr:cNvPr id="13" name="Graphique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695325</xdr:colOff>
      <xdr:row>59</xdr:row>
      <xdr:rowOff>114300</xdr:rowOff>
    </xdr:from>
    <xdr:to>
      <xdr:col>9</xdr:col>
      <xdr:colOff>0</xdr:colOff>
      <xdr:row>68</xdr:row>
      <xdr:rowOff>190499</xdr:rowOff>
    </xdr:to>
    <xdr:graphicFrame macro="">
      <xdr:nvGraphicFramePr>
        <xdr:cNvPr id="16" name="Graphique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</xdr:row>
      <xdr:rowOff>180975</xdr:rowOff>
    </xdr:from>
    <xdr:to>
      <xdr:col>6</xdr:col>
      <xdr:colOff>561975</xdr:colOff>
      <xdr:row>16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752475</xdr:colOff>
      <xdr:row>2</xdr:row>
      <xdr:rowOff>0</xdr:rowOff>
    </xdr:from>
    <xdr:to>
      <xdr:col>12</xdr:col>
      <xdr:colOff>752475</xdr:colOff>
      <xdr:row>16</xdr:row>
      <xdr:rowOff>76200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17</xdr:row>
      <xdr:rowOff>9525</xdr:rowOff>
    </xdr:from>
    <xdr:to>
      <xdr:col>6</xdr:col>
      <xdr:colOff>571500</xdr:colOff>
      <xdr:row>31</xdr:row>
      <xdr:rowOff>85725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0</xdr:colOff>
      <xdr:row>31</xdr:row>
      <xdr:rowOff>76200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590550</xdr:colOff>
      <xdr:row>32</xdr:row>
      <xdr:rowOff>47625</xdr:rowOff>
    </xdr:from>
    <xdr:to>
      <xdr:col>6</xdr:col>
      <xdr:colOff>590550</xdr:colOff>
      <xdr:row>46</xdr:row>
      <xdr:rowOff>123825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13</xdr:col>
      <xdr:colOff>0</xdr:colOff>
      <xdr:row>46</xdr:row>
      <xdr:rowOff>76200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619125</xdr:colOff>
      <xdr:row>47</xdr:row>
      <xdr:rowOff>180975</xdr:rowOff>
    </xdr:from>
    <xdr:to>
      <xdr:col>6</xdr:col>
      <xdr:colOff>619125</xdr:colOff>
      <xdr:row>62</xdr:row>
      <xdr:rowOff>66675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48</xdr:row>
      <xdr:rowOff>0</xdr:rowOff>
    </xdr:from>
    <xdr:to>
      <xdr:col>13</xdr:col>
      <xdr:colOff>0</xdr:colOff>
      <xdr:row>62</xdr:row>
      <xdr:rowOff>76200</xdr:rowOff>
    </xdr:to>
    <xdr:graphicFrame macro="">
      <xdr:nvGraphicFramePr>
        <xdr:cNvPr id="9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704850</xdr:colOff>
      <xdr:row>63</xdr:row>
      <xdr:rowOff>180975</xdr:rowOff>
    </xdr:from>
    <xdr:to>
      <xdr:col>6</xdr:col>
      <xdr:colOff>695325</xdr:colOff>
      <xdr:row>78</xdr:row>
      <xdr:rowOff>66675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64</xdr:row>
      <xdr:rowOff>0</xdr:rowOff>
    </xdr:from>
    <xdr:to>
      <xdr:col>13</xdr:col>
      <xdr:colOff>0</xdr:colOff>
      <xdr:row>78</xdr:row>
      <xdr:rowOff>76200</xdr:rowOff>
    </xdr:to>
    <xdr:graphicFrame macro="">
      <xdr:nvGraphicFramePr>
        <xdr:cNvPr id="11" name="Graphique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666750</xdr:colOff>
      <xdr:row>78</xdr:row>
      <xdr:rowOff>180975</xdr:rowOff>
    </xdr:from>
    <xdr:to>
      <xdr:col>6</xdr:col>
      <xdr:colOff>666750</xdr:colOff>
      <xdr:row>93</xdr:row>
      <xdr:rowOff>66675</xdr:rowOff>
    </xdr:to>
    <xdr:graphicFrame macro="">
      <xdr:nvGraphicFramePr>
        <xdr:cNvPr id="12" name="Graphique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13</xdr:col>
      <xdr:colOff>0</xdr:colOff>
      <xdr:row>93</xdr:row>
      <xdr:rowOff>76200</xdr:rowOff>
    </xdr:to>
    <xdr:graphicFrame macro="">
      <xdr:nvGraphicFramePr>
        <xdr:cNvPr id="13" name="Graphique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619125</xdr:colOff>
      <xdr:row>94</xdr:row>
      <xdr:rowOff>28575</xdr:rowOff>
    </xdr:from>
    <xdr:to>
      <xdr:col>6</xdr:col>
      <xdr:colOff>619125</xdr:colOff>
      <xdr:row>108</xdr:row>
      <xdr:rowOff>104775</xdr:rowOff>
    </xdr:to>
    <xdr:graphicFrame macro="">
      <xdr:nvGraphicFramePr>
        <xdr:cNvPr id="14" name="Graphique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0</xdr:colOff>
      <xdr:row>94</xdr:row>
      <xdr:rowOff>0</xdr:rowOff>
    </xdr:from>
    <xdr:to>
      <xdr:col>13</xdr:col>
      <xdr:colOff>0</xdr:colOff>
      <xdr:row>108</xdr:row>
      <xdr:rowOff>76200</xdr:rowOff>
    </xdr:to>
    <xdr:graphicFrame macro="">
      <xdr:nvGraphicFramePr>
        <xdr:cNvPr id="15" name="Graphique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0025E2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0025E4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0244E1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0374E3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0429E2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0429E4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0532E1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0532E4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0575E2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0575E4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0639E1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0639E4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0699E2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0.75</cdr:x>
      <cdr:y>0.03472</cdr:y>
    </cdr:from>
    <cdr:to>
      <cdr:x>0.92708</cdr:x>
      <cdr:y>0.12153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29000" y="95250"/>
          <a:ext cx="8096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0699E2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558912</xdr:colOff>
      <xdr:row>0</xdr:row>
      <xdr:rowOff>81644</xdr:rowOff>
    </xdr:from>
    <xdr:to>
      <xdr:col>15</xdr:col>
      <xdr:colOff>421822</xdr:colOff>
      <xdr:row>35</xdr:row>
      <xdr:rowOff>61572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34</xdr:row>
      <xdr:rowOff>181996</xdr:rowOff>
    </xdr:from>
    <xdr:to>
      <xdr:col>9</xdr:col>
      <xdr:colOff>488156</xdr:colOff>
      <xdr:row>36</xdr:row>
      <xdr:rowOff>134371</xdr:rowOff>
    </xdr:to>
    <xdr:sp macro="" textlink="">
      <xdr:nvSpPr>
        <xdr:cNvPr id="3" name="ZoneTexte 2"/>
        <xdr:cNvSpPr txBox="1"/>
      </xdr:nvSpPr>
      <xdr:spPr>
        <a:xfrm>
          <a:off x="4857750" y="6658996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  <xdr:twoCellAnchor>
    <xdr:from>
      <xdr:col>0</xdr:col>
      <xdr:colOff>179444</xdr:colOff>
      <xdr:row>6</xdr:row>
      <xdr:rowOff>56981</xdr:rowOff>
    </xdr:from>
    <xdr:to>
      <xdr:col>0</xdr:col>
      <xdr:colOff>512819</xdr:colOff>
      <xdr:row>19</xdr:row>
      <xdr:rowOff>68887</xdr:rowOff>
    </xdr:to>
    <xdr:sp macro="" textlink="">
      <xdr:nvSpPr>
        <xdr:cNvPr id="4" name="ZoneTexte 3"/>
        <xdr:cNvSpPr txBox="1"/>
      </xdr:nvSpPr>
      <xdr:spPr>
        <a:xfrm rot="16200000">
          <a:off x="-898071" y="2277496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R </a:t>
          </a:r>
          <a:r>
            <a:rPr lang="fr-FR" sz="1600" b="1" baseline="0"/>
            <a:t> max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4</xdr:col>
      <xdr:colOff>136070</xdr:colOff>
      <xdr:row>6</xdr:row>
      <xdr:rowOff>122464</xdr:rowOff>
    </xdr:from>
    <xdr:to>
      <xdr:col>7</xdr:col>
      <xdr:colOff>272141</xdr:colOff>
      <xdr:row>9</xdr:row>
      <xdr:rowOff>108857</xdr:rowOff>
    </xdr:to>
    <xdr:sp macro="" textlink="">
      <xdr:nvSpPr>
        <xdr:cNvPr id="5" name="ZoneTexte 4"/>
        <xdr:cNvSpPr txBox="1"/>
      </xdr:nvSpPr>
      <xdr:spPr>
        <a:xfrm>
          <a:off x="3184070" y="1265464"/>
          <a:ext cx="2422071" cy="557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2800" b="1"/>
            <a:t>R max=f(NC)</a:t>
          </a:r>
        </a:p>
      </xdr:txBody>
    </xdr:sp>
    <xdr:clientData/>
  </xdr:twoCellAnchor>
  <xdr:twoCellAnchor>
    <xdr:from>
      <xdr:col>1</xdr:col>
      <xdr:colOff>0</xdr:colOff>
      <xdr:row>40</xdr:row>
      <xdr:rowOff>0</xdr:rowOff>
    </xdr:from>
    <xdr:to>
      <xdr:col>15</xdr:col>
      <xdr:colOff>624910</xdr:colOff>
      <xdr:row>74</xdr:row>
      <xdr:rowOff>170428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530680</xdr:colOff>
      <xdr:row>43</xdr:row>
      <xdr:rowOff>176894</xdr:rowOff>
    </xdr:from>
    <xdr:to>
      <xdr:col>1</xdr:col>
      <xdr:colOff>102055</xdr:colOff>
      <xdr:row>56</xdr:row>
      <xdr:rowOff>188800</xdr:rowOff>
    </xdr:to>
    <xdr:sp macro="" textlink="">
      <xdr:nvSpPr>
        <xdr:cNvPr id="7" name="ZoneTexte 6"/>
        <xdr:cNvSpPr txBox="1"/>
      </xdr:nvSpPr>
      <xdr:spPr>
        <a:xfrm rot="16200000">
          <a:off x="-546835" y="9445909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R  av [N]</a:t>
          </a:r>
        </a:p>
      </xdr:txBody>
    </xdr:sp>
    <xdr:clientData/>
  </xdr:twoCellAnchor>
  <xdr:twoCellAnchor>
    <xdr:from>
      <xdr:col>6</xdr:col>
      <xdr:colOff>421821</xdr:colOff>
      <xdr:row>74</xdr:row>
      <xdr:rowOff>108857</xdr:rowOff>
    </xdr:from>
    <xdr:to>
      <xdr:col>9</xdr:col>
      <xdr:colOff>624227</xdr:colOff>
      <xdr:row>76</xdr:row>
      <xdr:rowOff>61232</xdr:rowOff>
    </xdr:to>
    <xdr:sp macro="" textlink="">
      <xdr:nvSpPr>
        <xdr:cNvPr id="8" name="ZoneTexte 7"/>
        <xdr:cNvSpPr txBox="1"/>
      </xdr:nvSpPr>
      <xdr:spPr>
        <a:xfrm>
          <a:off x="4993821" y="14205857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0.15182</cdr:x>
      <cdr:y>0.08188</cdr:y>
    </cdr:from>
    <cdr:to>
      <cdr:x>0.3663</cdr:x>
      <cdr:y>0.16581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1714500" y="544285"/>
          <a:ext cx="2422071" cy="5578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800" b="1"/>
            <a:t>R av=f(NC)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0</xdr:row>
      <xdr:rowOff>161925</xdr:rowOff>
    </xdr:from>
    <xdr:to>
      <xdr:col>12</xdr:col>
      <xdr:colOff>43885</xdr:colOff>
      <xdr:row>25</xdr:row>
      <xdr:rowOff>27552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57151</xdr:colOff>
      <xdr:row>5</xdr:row>
      <xdr:rowOff>76202</xdr:rowOff>
    </xdr:from>
    <xdr:to>
      <xdr:col>1</xdr:col>
      <xdr:colOff>390526</xdr:colOff>
      <xdr:row>18</xdr:row>
      <xdr:rowOff>88108</xdr:rowOff>
    </xdr:to>
    <xdr:sp macro="" textlink="">
      <xdr:nvSpPr>
        <xdr:cNvPr id="3" name="ZoneTexte 2"/>
        <xdr:cNvSpPr txBox="1"/>
      </xdr:nvSpPr>
      <xdr:spPr>
        <a:xfrm rot="16200000">
          <a:off x="-258364" y="2106217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P</a:t>
          </a:r>
          <a:r>
            <a:rPr lang="fr-FR" sz="1600" b="1" baseline="0"/>
            <a:t> max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8</xdr:col>
      <xdr:colOff>202406</xdr:colOff>
      <xdr:row>26</xdr:row>
      <xdr:rowOff>142875</xdr:rowOff>
    </xdr:to>
    <xdr:sp macro="" textlink="">
      <xdr:nvSpPr>
        <xdr:cNvPr id="4" name="ZoneTexte 3"/>
        <xdr:cNvSpPr txBox="1"/>
      </xdr:nvSpPr>
      <xdr:spPr>
        <a:xfrm>
          <a:off x="3810000" y="4762500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0.08317</cdr:x>
      <cdr:y>0.04734</cdr:y>
    </cdr:from>
    <cdr:to>
      <cdr:x>0.38532</cdr:x>
      <cdr:y>0.16788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666750" y="219075"/>
          <a:ext cx="2422071" cy="5578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P max=f(NC)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396310</xdr:colOff>
      <xdr:row>25</xdr:row>
      <xdr:rowOff>56127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523876</xdr:colOff>
      <xdr:row>6</xdr:row>
      <xdr:rowOff>9526</xdr:rowOff>
    </xdr:from>
    <xdr:to>
      <xdr:col>1</xdr:col>
      <xdr:colOff>95251</xdr:colOff>
      <xdr:row>19</xdr:row>
      <xdr:rowOff>21432</xdr:rowOff>
    </xdr:to>
    <xdr:sp macro="" textlink="">
      <xdr:nvSpPr>
        <xdr:cNvPr id="3" name="ZoneTexte 2"/>
        <xdr:cNvSpPr txBox="1"/>
      </xdr:nvSpPr>
      <xdr:spPr>
        <a:xfrm rot="16200000">
          <a:off x="-553639" y="2230041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</a:t>
          </a:r>
          <a:r>
            <a:rPr lang="fr-FR" sz="1600" b="1" baseline="0"/>
            <a:t> max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4</xdr:col>
      <xdr:colOff>476250</xdr:colOff>
      <xdr:row>24</xdr:row>
      <xdr:rowOff>180975</xdr:rowOff>
    </xdr:from>
    <xdr:to>
      <xdr:col>7</xdr:col>
      <xdr:colOff>678656</xdr:colOff>
      <xdr:row>26</xdr:row>
      <xdr:rowOff>133350</xdr:rowOff>
    </xdr:to>
    <xdr:sp macro="" textlink="">
      <xdr:nvSpPr>
        <xdr:cNvPr id="4" name="ZoneTexte 3"/>
        <xdr:cNvSpPr txBox="1"/>
      </xdr:nvSpPr>
      <xdr:spPr>
        <a:xfrm>
          <a:off x="3524250" y="4752975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0.08317</cdr:x>
      <cdr:y>0.04734</cdr:y>
    </cdr:from>
    <cdr:to>
      <cdr:x>0.38532</cdr:x>
      <cdr:y>0.16788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666750" y="219075"/>
          <a:ext cx="2422071" cy="5578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N max=f(NC)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401580</xdr:colOff>
      <xdr:row>0</xdr:row>
      <xdr:rowOff>0</xdr:rowOff>
    </xdr:from>
    <xdr:to>
      <xdr:col>13</xdr:col>
      <xdr:colOff>169333</xdr:colOff>
      <xdr:row>25</xdr:row>
      <xdr:rowOff>116417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105835</xdr:colOff>
      <xdr:row>4</xdr:row>
      <xdr:rowOff>105136</xdr:rowOff>
    </xdr:from>
    <xdr:to>
      <xdr:col>0</xdr:col>
      <xdr:colOff>439210</xdr:colOff>
      <xdr:row>17</xdr:row>
      <xdr:rowOff>117042</xdr:rowOff>
    </xdr:to>
    <xdr:sp macro="" textlink="">
      <xdr:nvSpPr>
        <xdr:cNvPr id="3" name="ZoneTexte 2"/>
        <xdr:cNvSpPr txBox="1"/>
      </xdr:nvSpPr>
      <xdr:spPr>
        <a:xfrm rot="16200000">
          <a:off x="-971680" y="1944651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Fpn</a:t>
          </a:r>
          <a:r>
            <a:rPr lang="fr-FR" sz="1600" b="1" baseline="0"/>
            <a:t> max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4</xdr:col>
      <xdr:colOff>300302</xdr:colOff>
      <xdr:row>25</xdr:row>
      <xdr:rowOff>72761</xdr:rowOff>
    </xdr:from>
    <xdr:to>
      <xdr:col>7</xdr:col>
      <xdr:colOff>502708</xdr:colOff>
      <xdr:row>27</xdr:row>
      <xdr:rowOff>25136</xdr:rowOff>
    </xdr:to>
    <xdr:sp macro="" textlink="">
      <xdr:nvSpPr>
        <xdr:cNvPr id="5" name="ZoneTexte 4"/>
        <xdr:cNvSpPr txBox="1"/>
      </xdr:nvSpPr>
      <xdr:spPr>
        <a:xfrm>
          <a:off x="3348302" y="4835261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  <xdr:twoCellAnchor>
    <xdr:from>
      <xdr:col>0</xdr:col>
      <xdr:colOff>582084</xdr:colOff>
      <xdr:row>29</xdr:row>
      <xdr:rowOff>169334</xdr:rowOff>
    </xdr:from>
    <xdr:to>
      <xdr:col>13</xdr:col>
      <xdr:colOff>349837</xdr:colOff>
      <xdr:row>55</xdr:row>
      <xdr:rowOff>95251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285751</xdr:colOff>
      <xdr:row>39</xdr:row>
      <xdr:rowOff>148168</xdr:rowOff>
    </xdr:from>
    <xdr:to>
      <xdr:col>0</xdr:col>
      <xdr:colOff>619126</xdr:colOff>
      <xdr:row>52</xdr:row>
      <xdr:rowOff>160074</xdr:rowOff>
    </xdr:to>
    <xdr:sp macro="" textlink="">
      <xdr:nvSpPr>
        <xdr:cNvPr id="7" name="ZoneTexte 6"/>
        <xdr:cNvSpPr txBox="1"/>
      </xdr:nvSpPr>
      <xdr:spPr>
        <a:xfrm rot="16200000">
          <a:off x="-791764" y="8655183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Fpn</a:t>
          </a:r>
          <a:r>
            <a:rPr lang="fr-FR" sz="1600" b="1" baseline="0"/>
            <a:t> av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5</xdr:col>
      <xdr:colOff>105833</xdr:colOff>
      <xdr:row>55</xdr:row>
      <xdr:rowOff>74083</xdr:rowOff>
    </xdr:from>
    <xdr:to>
      <xdr:col>8</xdr:col>
      <xdr:colOff>308239</xdr:colOff>
      <xdr:row>57</xdr:row>
      <xdr:rowOff>26458</xdr:rowOff>
    </xdr:to>
    <xdr:sp macro="" textlink="">
      <xdr:nvSpPr>
        <xdr:cNvPr id="8" name="ZoneTexte 7"/>
        <xdr:cNvSpPr txBox="1"/>
      </xdr:nvSpPr>
      <xdr:spPr>
        <a:xfrm>
          <a:off x="3915833" y="10551583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0.21485</cdr:x>
      <cdr:y>0.04709</cdr:y>
    </cdr:from>
    <cdr:to>
      <cdr:x>0.42782</cdr:x>
      <cdr:y>0.1234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2078406" y="229748"/>
          <a:ext cx="2060264" cy="37231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Fpn max=f(NC)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0.21485</cdr:x>
      <cdr:y>0.04709</cdr:y>
    </cdr:from>
    <cdr:to>
      <cdr:x>0.42782</cdr:x>
      <cdr:y>0.1234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2078406" y="229748"/>
          <a:ext cx="2060264" cy="37231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Ffr av=f(NC)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396310</xdr:colOff>
      <xdr:row>25</xdr:row>
      <xdr:rowOff>56127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457201</xdr:colOff>
      <xdr:row>5</xdr:row>
      <xdr:rowOff>47626</xdr:rowOff>
    </xdr:from>
    <xdr:to>
      <xdr:col>1</xdr:col>
      <xdr:colOff>28576</xdr:colOff>
      <xdr:row>18</xdr:row>
      <xdr:rowOff>59532</xdr:rowOff>
    </xdr:to>
    <xdr:sp macro="" textlink="">
      <xdr:nvSpPr>
        <xdr:cNvPr id="3" name="ZoneTexte 2"/>
        <xdr:cNvSpPr txBox="1"/>
      </xdr:nvSpPr>
      <xdr:spPr>
        <a:xfrm rot="16200000">
          <a:off x="-620314" y="2077641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Fp</a:t>
          </a:r>
          <a:r>
            <a:rPr lang="fr-FR" sz="1600" b="1" baseline="0"/>
            <a:t> max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8</xdr:col>
      <xdr:colOff>202406</xdr:colOff>
      <xdr:row>26</xdr:row>
      <xdr:rowOff>142875</xdr:rowOff>
    </xdr:to>
    <xdr:sp macro="" textlink="">
      <xdr:nvSpPr>
        <xdr:cNvPr id="4" name="ZoneTexte 3"/>
        <xdr:cNvSpPr txBox="1"/>
      </xdr:nvSpPr>
      <xdr:spPr>
        <a:xfrm>
          <a:off x="3810000" y="4762500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0.08317</cdr:x>
      <cdr:y>0.04734</cdr:y>
    </cdr:from>
    <cdr:to>
      <cdr:x>0.38532</cdr:x>
      <cdr:y>0.16788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666750" y="219075"/>
          <a:ext cx="2422071" cy="5578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Fp max=f(NC)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321470</xdr:colOff>
      <xdr:row>1</xdr:row>
      <xdr:rowOff>23813</xdr:rowOff>
    </xdr:from>
    <xdr:to>
      <xdr:col>14</xdr:col>
      <xdr:colOff>178594</xdr:colOff>
      <xdr:row>28</xdr:row>
      <xdr:rowOff>28575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99221</xdr:colOff>
      <xdr:row>6</xdr:row>
      <xdr:rowOff>41013</xdr:rowOff>
    </xdr:from>
    <xdr:to>
      <xdr:col>1</xdr:col>
      <xdr:colOff>432596</xdr:colOff>
      <xdr:row>19</xdr:row>
      <xdr:rowOff>52919</xdr:rowOff>
    </xdr:to>
    <xdr:sp macro="" textlink="">
      <xdr:nvSpPr>
        <xdr:cNvPr id="3" name="ZoneTexte 2"/>
        <xdr:cNvSpPr txBox="1"/>
      </xdr:nvSpPr>
      <xdr:spPr>
        <a:xfrm rot="16200000">
          <a:off x="-216294" y="2261528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 baseline="0"/>
            <a:t>Fs max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5</xdr:col>
      <xdr:colOff>417972</xdr:colOff>
      <xdr:row>27</xdr:row>
      <xdr:rowOff>175460</xdr:rowOff>
    </xdr:from>
    <xdr:to>
      <xdr:col>8</xdr:col>
      <xdr:colOff>620378</xdr:colOff>
      <xdr:row>29</xdr:row>
      <xdr:rowOff>127835</xdr:rowOff>
    </xdr:to>
    <xdr:sp macro="" textlink="">
      <xdr:nvSpPr>
        <xdr:cNvPr id="4" name="ZoneTexte 3"/>
        <xdr:cNvSpPr txBox="1"/>
      </xdr:nvSpPr>
      <xdr:spPr>
        <a:xfrm>
          <a:off x="4227972" y="5318960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  <xdr:twoCellAnchor>
    <xdr:from>
      <xdr:col>1</xdr:col>
      <xdr:colOff>370974</xdr:colOff>
      <xdr:row>31</xdr:row>
      <xdr:rowOff>170447</xdr:rowOff>
    </xdr:from>
    <xdr:to>
      <xdr:col>14</xdr:col>
      <xdr:colOff>228098</xdr:colOff>
      <xdr:row>58</xdr:row>
      <xdr:rowOff>175209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120317</xdr:colOff>
      <xdr:row>38</xdr:row>
      <xdr:rowOff>30080</xdr:rowOff>
    </xdr:from>
    <xdr:to>
      <xdr:col>1</xdr:col>
      <xdr:colOff>453692</xdr:colOff>
      <xdr:row>51</xdr:row>
      <xdr:rowOff>41986</xdr:rowOff>
    </xdr:to>
    <xdr:sp macro="" textlink="">
      <xdr:nvSpPr>
        <xdr:cNvPr id="6" name="ZoneTexte 5"/>
        <xdr:cNvSpPr txBox="1"/>
      </xdr:nvSpPr>
      <xdr:spPr>
        <a:xfrm rot="16200000">
          <a:off x="-195198" y="8346595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Fs </a:t>
          </a:r>
          <a:r>
            <a:rPr lang="fr-FR" sz="1600" b="1" baseline="0"/>
            <a:t>av</a:t>
          </a:r>
          <a:r>
            <a:rPr lang="fr-FR" sz="1600" b="1"/>
            <a:t> [N]</a:t>
          </a:r>
        </a:p>
      </xdr:txBody>
    </xdr:sp>
    <xdr:clientData/>
  </xdr:twoCellAnchor>
  <xdr:twoCellAnchor>
    <xdr:from>
      <xdr:col>6</xdr:col>
      <xdr:colOff>0</xdr:colOff>
      <xdr:row>59</xdr:row>
      <xdr:rowOff>0</xdr:rowOff>
    </xdr:from>
    <xdr:to>
      <xdr:col>9</xdr:col>
      <xdr:colOff>202406</xdr:colOff>
      <xdr:row>60</xdr:row>
      <xdr:rowOff>142875</xdr:rowOff>
    </xdr:to>
    <xdr:sp macro="" textlink="">
      <xdr:nvSpPr>
        <xdr:cNvPr id="7" name="ZoneTexte 6"/>
        <xdr:cNvSpPr txBox="1"/>
      </xdr:nvSpPr>
      <xdr:spPr>
        <a:xfrm>
          <a:off x="4572000" y="11239500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0.10574</cdr:x>
      <cdr:y>0.07183</cdr:y>
    </cdr:from>
    <cdr:to>
      <cdr:x>0.3224</cdr:x>
      <cdr:y>0.15119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1032357" y="369807"/>
          <a:ext cx="2115278" cy="408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Fs max=f(NC)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0.10574</cdr:x>
      <cdr:y>0.07183</cdr:y>
    </cdr:from>
    <cdr:to>
      <cdr:x>0.3224</cdr:x>
      <cdr:y>0.15119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1032357" y="369807"/>
          <a:ext cx="2115278" cy="408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Fs av=f(NC)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12</xdr:col>
      <xdr:colOff>457200</xdr:colOff>
      <xdr:row>27</xdr:row>
      <xdr:rowOff>180975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285750</xdr:colOff>
      <xdr:row>27</xdr:row>
      <xdr:rowOff>142875</xdr:rowOff>
    </xdr:from>
    <xdr:to>
      <xdr:col>7</xdr:col>
      <xdr:colOff>488156</xdr:colOff>
      <xdr:row>29</xdr:row>
      <xdr:rowOff>95250</xdr:rowOff>
    </xdr:to>
    <xdr:sp macro="" textlink="">
      <xdr:nvSpPr>
        <xdr:cNvPr id="3" name="ZoneTexte 2"/>
        <xdr:cNvSpPr txBox="1"/>
      </xdr:nvSpPr>
      <xdr:spPr>
        <a:xfrm>
          <a:off x="3333750" y="5286375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  <xdr:twoCellAnchor>
    <xdr:from>
      <xdr:col>0</xdr:col>
      <xdr:colOff>485776</xdr:colOff>
      <xdr:row>7</xdr:row>
      <xdr:rowOff>104776</xdr:rowOff>
    </xdr:from>
    <xdr:to>
      <xdr:col>1</xdr:col>
      <xdr:colOff>57151</xdr:colOff>
      <xdr:row>20</xdr:row>
      <xdr:rowOff>116682</xdr:rowOff>
    </xdr:to>
    <xdr:sp macro="" textlink="">
      <xdr:nvSpPr>
        <xdr:cNvPr id="4" name="ZoneTexte 3"/>
        <xdr:cNvSpPr txBox="1"/>
      </xdr:nvSpPr>
      <xdr:spPr>
        <a:xfrm rot="16200000">
          <a:off x="-591739" y="2515791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Fz max</a:t>
          </a:r>
          <a:r>
            <a:rPr lang="fr-FR" sz="1600" b="1" baseline="0"/>
            <a:t> </a:t>
          </a:r>
          <a:r>
            <a:rPr lang="fr-FR" sz="1600" b="1"/>
            <a:t>[N]</a:t>
          </a: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12</xdr:col>
      <xdr:colOff>457199</xdr:colOff>
      <xdr:row>57</xdr:row>
      <xdr:rowOff>180975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476251</xdr:colOff>
      <xdr:row>35</xdr:row>
      <xdr:rowOff>28577</xdr:rowOff>
    </xdr:from>
    <xdr:to>
      <xdr:col>1</xdr:col>
      <xdr:colOff>47626</xdr:colOff>
      <xdr:row>48</xdr:row>
      <xdr:rowOff>40483</xdr:rowOff>
    </xdr:to>
    <xdr:sp macro="" textlink="">
      <xdr:nvSpPr>
        <xdr:cNvPr id="6" name="ZoneTexte 5"/>
        <xdr:cNvSpPr txBox="1"/>
      </xdr:nvSpPr>
      <xdr:spPr>
        <a:xfrm rot="16200000">
          <a:off x="-601264" y="7773592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Fz av</a:t>
          </a:r>
          <a:r>
            <a:rPr lang="fr-FR" sz="1600" b="1" baseline="0"/>
            <a:t> </a:t>
          </a:r>
          <a:r>
            <a:rPr lang="fr-FR" sz="1600" b="1"/>
            <a:t>[N]</a:t>
          </a:r>
        </a:p>
      </xdr:txBody>
    </xdr:sp>
    <xdr:clientData/>
  </xdr:twoCellAnchor>
  <xdr:twoCellAnchor>
    <xdr:from>
      <xdr:col>4</xdr:col>
      <xdr:colOff>647700</xdr:colOff>
      <xdr:row>57</xdr:row>
      <xdr:rowOff>161925</xdr:rowOff>
    </xdr:from>
    <xdr:to>
      <xdr:col>8</xdr:col>
      <xdr:colOff>88106</xdr:colOff>
      <xdr:row>59</xdr:row>
      <xdr:rowOff>114300</xdr:rowOff>
    </xdr:to>
    <xdr:sp macro="" textlink="">
      <xdr:nvSpPr>
        <xdr:cNvPr id="7" name="ZoneTexte 6"/>
        <xdr:cNvSpPr txBox="1"/>
      </xdr:nvSpPr>
      <xdr:spPr>
        <a:xfrm>
          <a:off x="3695700" y="11020425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0.11346</cdr:x>
      <cdr:y>0.11336</cdr:y>
    </cdr:from>
    <cdr:to>
      <cdr:x>0.36746</cdr:x>
      <cdr:y>0.18967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1002896" y="581987"/>
          <a:ext cx="2245128" cy="39177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Fz max =f(NC)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0.11346</cdr:x>
      <cdr:y>0.11336</cdr:y>
    </cdr:from>
    <cdr:to>
      <cdr:x>0.36746</cdr:x>
      <cdr:y>0.18967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1002896" y="581987"/>
          <a:ext cx="2245128" cy="39177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2000" b="1"/>
            <a:t>Fz av =f(NC)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76201</xdr:colOff>
      <xdr:row>0</xdr:row>
      <xdr:rowOff>123825</xdr:rowOff>
    </xdr:from>
    <xdr:to>
      <xdr:col>14</xdr:col>
      <xdr:colOff>95250</xdr:colOff>
      <xdr:row>23</xdr:row>
      <xdr:rowOff>142875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542926</xdr:colOff>
      <xdr:row>5</xdr:row>
      <xdr:rowOff>95250</xdr:rowOff>
    </xdr:from>
    <xdr:to>
      <xdr:col>1</xdr:col>
      <xdr:colOff>114301</xdr:colOff>
      <xdr:row>18</xdr:row>
      <xdr:rowOff>107156</xdr:rowOff>
    </xdr:to>
    <xdr:sp macro="" textlink="">
      <xdr:nvSpPr>
        <xdr:cNvPr id="3" name="ZoneTexte 2"/>
        <xdr:cNvSpPr txBox="1"/>
      </xdr:nvSpPr>
      <xdr:spPr>
        <a:xfrm rot="16200000">
          <a:off x="-534589" y="2125265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el-GR" sz="1600" b="1"/>
            <a:t>β</a:t>
          </a:r>
          <a:r>
            <a:rPr lang="fr-FR" sz="1600" b="1"/>
            <a:t>[°]</a:t>
          </a:r>
        </a:p>
      </xdr:txBody>
    </xdr:sp>
    <xdr:clientData/>
  </xdr:twoCellAnchor>
  <xdr:twoCellAnchor>
    <xdr:from>
      <xdr:col>4</xdr:col>
      <xdr:colOff>695325</xdr:colOff>
      <xdr:row>23</xdr:row>
      <xdr:rowOff>133350</xdr:rowOff>
    </xdr:from>
    <xdr:to>
      <xdr:col>8</xdr:col>
      <xdr:colOff>135731</xdr:colOff>
      <xdr:row>25</xdr:row>
      <xdr:rowOff>85725</xdr:rowOff>
    </xdr:to>
    <xdr:sp macro="" textlink="">
      <xdr:nvSpPr>
        <xdr:cNvPr id="4" name="ZoneTexte 3"/>
        <xdr:cNvSpPr txBox="1"/>
      </xdr:nvSpPr>
      <xdr:spPr>
        <a:xfrm>
          <a:off x="3743325" y="4514850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14</xdr:col>
      <xdr:colOff>19049</xdr:colOff>
      <xdr:row>51</xdr:row>
      <xdr:rowOff>19050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504825</xdr:colOff>
      <xdr:row>50</xdr:row>
      <xdr:rowOff>180975</xdr:rowOff>
    </xdr:from>
    <xdr:to>
      <xdr:col>8</xdr:col>
      <xdr:colOff>707231</xdr:colOff>
      <xdr:row>52</xdr:row>
      <xdr:rowOff>133350</xdr:rowOff>
    </xdr:to>
    <xdr:sp macro="" textlink="">
      <xdr:nvSpPr>
        <xdr:cNvPr id="8" name="ZoneTexte 7"/>
        <xdr:cNvSpPr txBox="1"/>
      </xdr:nvSpPr>
      <xdr:spPr>
        <a:xfrm>
          <a:off x="4314825" y="9705975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  <xdr:twoCellAnchor>
    <xdr:from>
      <xdr:col>0</xdr:col>
      <xdr:colOff>552451</xdr:colOff>
      <xdr:row>32</xdr:row>
      <xdr:rowOff>142876</xdr:rowOff>
    </xdr:from>
    <xdr:to>
      <xdr:col>1</xdr:col>
      <xdr:colOff>123826</xdr:colOff>
      <xdr:row>45</xdr:row>
      <xdr:rowOff>154782</xdr:rowOff>
    </xdr:to>
    <xdr:sp macro="" textlink="">
      <xdr:nvSpPr>
        <xdr:cNvPr id="9" name="ZoneTexte 8"/>
        <xdr:cNvSpPr txBox="1"/>
      </xdr:nvSpPr>
      <xdr:spPr>
        <a:xfrm rot="16200000">
          <a:off x="-525064" y="7316391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el-GR" sz="1600" b="1"/>
            <a:t>μ</a:t>
          </a:r>
          <a:r>
            <a:rPr lang="fr-FR" sz="1600" b="1"/>
            <a:t>e[°]</a:t>
          </a:r>
        </a:p>
      </xdr:txBody>
    </xdr:sp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0.15161</cdr:x>
      <cdr:y>0.03398</cdr:y>
    </cdr:from>
    <cdr:to>
      <cdr:x>0.39923</cdr:x>
      <cdr:y>0.13203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1504737" y="149531"/>
          <a:ext cx="2457662" cy="43147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l-GR" sz="2000" b="1">
              <a:latin typeface="Calibri"/>
              <a:cs typeface="Calibri"/>
            </a:rPr>
            <a:t>β</a:t>
          </a:r>
          <a:r>
            <a:rPr lang="fr-FR" sz="2000" b="1"/>
            <a:t>=f(NC)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0.15161</cdr:x>
      <cdr:y>0.03398</cdr:y>
    </cdr:from>
    <cdr:to>
      <cdr:x>0.39923</cdr:x>
      <cdr:y>0.13203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1504737" y="149531"/>
          <a:ext cx="2457662" cy="43147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l-GR" sz="2000" b="1">
              <a:latin typeface="Calibri"/>
              <a:cs typeface="Calibri"/>
            </a:rPr>
            <a:t>μ</a:t>
          </a:r>
          <a:r>
            <a:rPr lang="fr-FR" sz="2000" b="1">
              <a:latin typeface="Calibri"/>
              <a:cs typeface="Calibri"/>
            </a:rPr>
            <a:t>e</a:t>
          </a:r>
          <a:r>
            <a:rPr lang="fr-FR" sz="2000" b="1"/>
            <a:t>=f(NC)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0</xdr:row>
      <xdr:rowOff>95251</xdr:rowOff>
    </xdr:from>
    <xdr:to>
      <xdr:col>14</xdr:col>
      <xdr:colOff>276226</xdr:colOff>
      <xdr:row>24</xdr:row>
      <xdr:rowOff>114301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24</xdr:row>
      <xdr:rowOff>95250</xdr:rowOff>
    </xdr:from>
    <xdr:to>
      <xdr:col>8</xdr:col>
      <xdr:colOff>621506</xdr:colOff>
      <xdr:row>26</xdr:row>
      <xdr:rowOff>47625</xdr:rowOff>
    </xdr:to>
    <xdr:sp macro="" textlink="">
      <xdr:nvSpPr>
        <xdr:cNvPr id="3" name="ZoneTexte 2"/>
        <xdr:cNvSpPr txBox="1"/>
      </xdr:nvSpPr>
      <xdr:spPr>
        <a:xfrm>
          <a:off x="4229100" y="4667250"/>
          <a:ext cx="2488406" cy="33337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NC [rev]</a:t>
          </a:r>
        </a:p>
      </xdr:txBody>
    </xdr:sp>
    <xdr:clientData/>
  </xdr:twoCellAnchor>
  <xdr:twoCellAnchor>
    <xdr:from>
      <xdr:col>0</xdr:col>
      <xdr:colOff>523878</xdr:colOff>
      <xdr:row>6</xdr:row>
      <xdr:rowOff>123828</xdr:rowOff>
    </xdr:from>
    <xdr:to>
      <xdr:col>1</xdr:col>
      <xdr:colOff>95253</xdr:colOff>
      <xdr:row>19</xdr:row>
      <xdr:rowOff>135734</xdr:rowOff>
    </xdr:to>
    <xdr:sp macro="" textlink="">
      <xdr:nvSpPr>
        <xdr:cNvPr id="4" name="ZoneTexte 3"/>
        <xdr:cNvSpPr txBox="1"/>
      </xdr:nvSpPr>
      <xdr:spPr>
        <a:xfrm rot="16200000">
          <a:off x="-553637" y="2344343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AEA max [°]</a:t>
          </a: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14</xdr:col>
      <xdr:colOff>247650</xdr:colOff>
      <xdr:row>53</xdr:row>
      <xdr:rowOff>19050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457201</xdr:colOff>
      <xdr:row>34</xdr:row>
      <xdr:rowOff>95252</xdr:rowOff>
    </xdr:from>
    <xdr:to>
      <xdr:col>1</xdr:col>
      <xdr:colOff>28576</xdr:colOff>
      <xdr:row>47</xdr:row>
      <xdr:rowOff>107158</xdr:rowOff>
    </xdr:to>
    <xdr:sp macro="" textlink="">
      <xdr:nvSpPr>
        <xdr:cNvPr id="6" name="ZoneTexte 5"/>
        <xdr:cNvSpPr txBox="1"/>
      </xdr:nvSpPr>
      <xdr:spPr>
        <a:xfrm rot="16200000">
          <a:off x="-620314" y="7649767"/>
          <a:ext cx="2488406" cy="333375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fr-FR" sz="1600" b="1"/>
            <a:t>AEA av [°]</a:t>
          </a:r>
        </a:p>
      </xdr:txBody>
    </xdr:sp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0.24716</cdr:x>
      <cdr:y>0.08035</cdr:y>
    </cdr:from>
    <cdr:to>
      <cdr:x>0.45872</cdr:x>
      <cdr:y>0.18465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2509595" y="368875"/>
          <a:ext cx="2148106" cy="47884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1800" b="1"/>
            <a:t>EAA max=f(NC)</a:t>
          </a:r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0.48919</cdr:x>
      <cdr:y>0.06375</cdr:y>
    </cdr:from>
    <cdr:to>
      <cdr:x>0.70075</cdr:x>
      <cdr:y>0.16805</cdr:y>
    </cdr:to>
    <cdr:sp macro="" textlink="">
      <cdr:nvSpPr>
        <cdr:cNvPr id="2" name="ZoneTexte 4"/>
        <cdr:cNvSpPr txBox="1"/>
      </cdr:nvSpPr>
      <cdr:spPr>
        <a:xfrm xmlns:a="http://schemas.openxmlformats.org/drawingml/2006/main">
          <a:off x="4967045" y="292675"/>
          <a:ext cx="2148106" cy="47884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fr-FR" sz="1800" b="1"/>
            <a:t>AEA av=f(NC)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AM162"/>
  <sheetViews>
    <sheetView topLeftCell="A5" workbookViewId="0">
      <pane ySplit="1" topLeftCell="A95" activePane="bottomLeft" state="frozen"/>
      <selection activeCell="B5" sqref="B5"/>
      <selection pane="bottomLeft" activeCell="AH5" sqref="AH1:AH1048576"/>
    </sheetView>
  </sheetViews>
  <sheetFormatPr baseColWidth="10" defaultRowHeight="15"/>
  <cols>
    <col min="6" max="6" width="11.42578125" customWidth="1"/>
    <col min="23" max="23" width="10.7109375" customWidth="1"/>
    <col min="24" max="24" width="10.140625" customWidth="1"/>
  </cols>
  <sheetData>
    <row r="4" spans="1:39"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39">
      <c r="B5" s="13" t="s">
        <v>9</v>
      </c>
      <c r="C5" s="13" t="s">
        <v>10</v>
      </c>
      <c r="D5" s="17" t="s">
        <v>0</v>
      </c>
      <c r="E5" s="17" t="s">
        <v>39</v>
      </c>
      <c r="F5" s="17" t="s">
        <v>38</v>
      </c>
      <c r="G5" s="17" t="s">
        <v>55</v>
      </c>
      <c r="H5" s="17" t="s">
        <v>58</v>
      </c>
      <c r="I5" s="17" t="s">
        <v>56</v>
      </c>
      <c r="J5" s="17" t="s">
        <v>57</v>
      </c>
      <c r="K5" s="17" t="s">
        <v>59</v>
      </c>
      <c r="L5" s="17" t="s">
        <v>60</v>
      </c>
      <c r="M5" s="17" t="s">
        <v>40</v>
      </c>
      <c r="N5" s="17" t="s">
        <v>41</v>
      </c>
      <c r="O5" s="17" t="s">
        <v>36</v>
      </c>
      <c r="P5" s="17" t="s">
        <v>37</v>
      </c>
      <c r="Q5" s="17" t="s">
        <v>47</v>
      </c>
      <c r="R5" s="17" t="s">
        <v>48</v>
      </c>
      <c r="S5" s="17" t="s">
        <v>73</v>
      </c>
      <c r="T5" s="17" t="s">
        <v>74</v>
      </c>
      <c r="U5" s="86" t="s">
        <v>45</v>
      </c>
      <c r="V5" s="86" t="s">
        <v>46</v>
      </c>
      <c r="W5" s="17" t="s">
        <v>42</v>
      </c>
      <c r="X5" s="17" t="s">
        <v>44</v>
      </c>
      <c r="Y5" s="17" t="s">
        <v>43</v>
      </c>
      <c r="Z5" s="17" t="s">
        <v>5</v>
      </c>
      <c r="AA5" s="17" t="s">
        <v>6</v>
      </c>
      <c r="AB5" s="17" t="s">
        <v>20</v>
      </c>
      <c r="AC5" s="17" t="s">
        <v>21</v>
      </c>
      <c r="AD5" s="17" t="s">
        <v>22</v>
      </c>
      <c r="AE5" s="65"/>
      <c r="AF5" s="65"/>
      <c r="AG5" s="65"/>
      <c r="AH5" s="65"/>
      <c r="AI5" s="65"/>
      <c r="AJ5" s="65"/>
      <c r="AK5" s="65"/>
      <c r="AL5" s="65"/>
      <c r="AM5" s="65"/>
    </row>
    <row r="6" spans="1:39">
      <c r="B6" s="14" t="s">
        <v>17</v>
      </c>
      <c r="C6" s="15" t="s">
        <v>13</v>
      </c>
      <c r="D6" s="16" t="s">
        <v>1</v>
      </c>
      <c r="E6" s="16" t="s">
        <v>3</v>
      </c>
      <c r="F6" s="16" t="s">
        <v>3</v>
      </c>
      <c r="G6" s="16" t="s">
        <v>3</v>
      </c>
      <c r="H6" s="16" t="s">
        <v>3</v>
      </c>
      <c r="I6" s="16" t="s">
        <v>3</v>
      </c>
      <c r="J6" s="16" t="s">
        <v>3</v>
      </c>
      <c r="K6" s="16" t="s">
        <v>3</v>
      </c>
      <c r="L6" s="16" t="s">
        <v>3</v>
      </c>
      <c r="M6" s="16" t="s">
        <v>3</v>
      </c>
      <c r="N6" s="16" t="s">
        <v>3</v>
      </c>
      <c r="O6" s="16" t="s">
        <v>3</v>
      </c>
      <c r="P6" s="16" t="s">
        <v>3</v>
      </c>
      <c r="Q6" s="16" t="s">
        <v>3</v>
      </c>
      <c r="R6" s="16" t="s">
        <v>3</v>
      </c>
      <c r="S6" s="16" t="s">
        <v>2</v>
      </c>
      <c r="T6" s="16" t="s">
        <v>2</v>
      </c>
      <c r="U6" s="16" t="s">
        <v>2</v>
      </c>
      <c r="V6" s="16" t="s">
        <v>2</v>
      </c>
      <c r="W6" s="16" t="s">
        <v>2</v>
      </c>
      <c r="X6" s="16"/>
      <c r="Y6" s="16" t="s">
        <v>2</v>
      </c>
      <c r="Z6" s="16" t="s">
        <v>4</v>
      </c>
      <c r="AA6" s="16" t="s">
        <v>4</v>
      </c>
      <c r="AB6" s="16" t="s">
        <v>4</v>
      </c>
      <c r="AC6" s="16" t="s">
        <v>4</v>
      </c>
      <c r="AD6" s="16" t="s">
        <v>4</v>
      </c>
      <c r="AE6" s="66"/>
      <c r="AF6" s="66"/>
      <c r="AG6" s="66"/>
      <c r="AH6" s="66"/>
      <c r="AI6" s="66"/>
      <c r="AJ6" s="66"/>
      <c r="AK6" s="16"/>
      <c r="AL6" s="16"/>
      <c r="AM6" s="16"/>
    </row>
    <row r="7" spans="1:39">
      <c r="A7" s="117" t="s">
        <v>70</v>
      </c>
      <c r="B7" s="118">
        <v>1</v>
      </c>
      <c r="C7" s="2" t="s">
        <v>16</v>
      </c>
      <c r="D7" s="41">
        <v>139</v>
      </c>
      <c r="E7" s="25">
        <v>271.52</v>
      </c>
      <c r="F7" s="25">
        <v>502.26</v>
      </c>
      <c r="G7" s="25">
        <v>386.35</v>
      </c>
      <c r="H7" s="25">
        <v>597.04999999999995</v>
      </c>
      <c r="I7" s="25">
        <v>474.83</v>
      </c>
      <c r="J7" s="25">
        <v>777.8</v>
      </c>
      <c r="K7" s="25">
        <v>-55.64</v>
      </c>
      <c r="L7" s="25">
        <v>-98.48</v>
      </c>
      <c r="M7" s="25">
        <v>390.34</v>
      </c>
      <c r="N7" s="25">
        <v>605.12</v>
      </c>
      <c r="O7" s="25">
        <v>126.88</v>
      </c>
      <c r="P7" s="25">
        <v>170.1</v>
      </c>
      <c r="Q7" s="25">
        <v>466.83</v>
      </c>
      <c r="R7" s="25">
        <v>782.67</v>
      </c>
      <c r="S7" s="25">
        <v>71.97</v>
      </c>
      <c r="T7" s="25">
        <v>78.209999999999994</v>
      </c>
      <c r="U7" s="25">
        <v>6.5</v>
      </c>
      <c r="V7" s="25">
        <v>7.72</v>
      </c>
      <c r="W7" s="25">
        <v>-81.8</v>
      </c>
      <c r="X7" s="25">
        <v>1.44</v>
      </c>
      <c r="Y7" s="25">
        <v>55.18</v>
      </c>
      <c r="Z7" s="25" t="s">
        <v>12</v>
      </c>
      <c r="AA7" s="25" t="s">
        <v>12</v>
      </c>
      <c r="AB7" s="51" t="s">
        <v>12</v>
      </c>
      <c r="AC7" s="51" t="s">
        <v>12</v>
      </c>
      <c r="AD7" s="51" t="s">
        <v>12</v>
      </c>
      <c r="AE7" s="67"/>
      <c r="AF7" s="67"/>
      <c r="AG7" s="67"/>
      <c r="AH7" s="67"/>
      <c r="AI7" s="67"/>
      <c r="AJ7" s="25"/>
      <c r="AK7" s="25"/>
      <c r="AL7" s="25"/>
      <c r="AM7" s="25"/>
    </row>
    <row r="8" spans="1:39">
      <c r="A8" s="117"/>
      <c r="B8" s="119"/>
      <c r="C8" s="1" t="s">
        <v>15</v>
      </c>
      <c r="D8" s="41">
        <v>139</v>
      </c>
      <c r="E8" s="26">
        <v>266.43</v>
      </c>
      <c r="F8" s="26">
        <v>490.45</v>
      </c>
      <c r="G8" s="26">
        <v>407.52</v>
      </c>
      <c r="H8" s="26">
        <v>626.97</v>
      </c>
      <c r="I8" s="26">
        <v>489.52</v>
      </c>
      <c r="J8" s="26">
        <v>791.8</v>
      </c>
      <c r="K8" s="26">
        <v>-61.51</v>
      </c>
      <c r="L8" s="26">
        <v>-109.82</v>
      </c>
      <c r="M8" s="26">
        <v>412.14</v>
      </c>
      <c r="N8" s="26">
        <v>636.52</v>
      </c>
      <c r="O8" s="26">
        <v>138.79</v>
      </c>
      <c r="P8" s="26">
        <v>190.25</v>
      </c>
      <c r="Q8" s="26">
        <v>493.41</v>
      </c>
      <c r="R8" s="26">
        <v>796.98</v>
      </c>
      <c r="S8" s="26">
        <v>71.27</v>
      </c>
      <c r="T8" s="26">
        <v>77.2</v>
      </c>
      <c r="U8" s="26">
        <v>7.13</v>
      </c>
      <c r="V8" s="26">
        <v>8.84</v>
      </c>
      <c r="W8" s="26">
        <v>-81.42</v>
      </c>
      <c r="X8" s="26">
        <v>1.55</v>
      </c>
      <c r="Y8" s="26">
        <v>57.12</v>
      </c>
      <c r="Z8" s="26" t="s">
        <v>12</v>
      </c>
      <c r="AA8" s="26" t="s">
        <v>12</v>
      </c>
      <c r="AB8" s="43">
        <v>1.0740000000000001</v>
      </c>
      <c r="AC8" s="43">
        <v>0.16200000000000001</v>
      </c>
      <c r="AD8" s="43">
        <v>-1.6284000000000001</v>
      </c>
      <c r="AE8" s="26"/>
      <c r="AF8" s="26"/>
      <c r="AG8" s="26"/>
      <c r="AH8" s="26"/>
      <c r="AI8" s="26"/>
      <c r="AJ8" s="26"/>
      <c r="AK8" s="26"/>
      <c r="AL8" s="26"/>
      <c r="AM8" s="26"/>
    </row>
    <row r="9" spans="1:39">
      <c r="A9" s="117"/>
      <c r="B9" s="119"/>
      <c r="C9" s="5" t="s">
        <v>14</v>
      </c>
      <c r="D9" s="41">
        <v>139</v>
      </c>
      <c r="E9" s="27">
        <v>274.47000000000003</v>
      </c>
      <c r="F9" s="27">
        <v>515.92999999999995</v>
      </c>
      <c r="G9" s="27">
        <v>374.88</v>
      </c>
      <c r="H9" s="27">
        <v>594.79</v>
      </c>
      <c r="I9" s="27">
        <v>467.01</v>
      </c>
      <c r="J9" s="27">
        <v>782.57</v>
      </c>
      <c r="K9" s="27">
        <v>-57.02</v>
      </c>
      <c r="L9" s="27">
        <v>-105.37</v>
      </c>
      <c r="M9" s="27">
        <v>379.19</v>
      </c>
      <c r="N9" s="27">
        <v>604.04999999999995</v>
      </c>
      <c r="O9" s="27">
        <v>117.33</v>
      </c>
      <c r="P9" s="27">
        <v>155.15</v>
      </c>
      <c r="Q9" s="27">
        <v>470.5</v>
      </c>
      <c r="R9" s="27">
        <v>789.03</v>
      </c>
      <c r="S9" s="27">
        <v>72.739999999999995</v>
      </c>
      <c r="T9" s="27">
        <v>79.45</v>
      </c>
      <c r="U9" s="27">
        <v>6.75</v>
      </c>
      <c r="V9" s="27">
        <v>8.16</v>
      </c>
      <c r="W9" s="27">
        <v>-81.349999999999994</v>
      </c>
      <c r="X9" s="27">
        <v>1.38</v>
      </c>
      <c r="Y9" s="27">
        <v>54.1</v>
      </c>
      <c r="Z9" s="27" t="s">
        <v>12</v>
      </c>
      <c r="AA9" s="27" t="s">
        <v>12</v>
      </c>
      <c r="AB9" s="44">
        <v>1.5880000000000001</v>
      </c>
      <c r="AC9" s="44">
        <v>0.17749999999999999</v>
      </c>
      <c r="AD9" s="44">
        <v>-1.613</v>
      </c>
      <c r="AE9" s="27"/>
      <c r="AF9" s="27"/>
      <c r="AG9" s="27"/>
      <c r="AH9" s="27"/>
      <c r="AI9" s="27"/>
      <c r="AJ9" s="27"/>
      <c r="AK9" s="27"/>
      <c r="AL9" s="27"/>
      <c r="AM9" s="27"/>
    </row>
    <row r="10" spans="1:39">
      <c r="A10" s="117"/>
      <c r="B10" s="119"/>
      <c r="C10" s="12" t="s">
        <v>11</v>
      </c>
      <c r="D10" s="41">
        <v>139</v>
      </c>
      <c r="E10" s="51" t="s">
        <v>12</v>
      </c>
      <c r="F10" s="51" t="s">
        <v>12</v>
      </c>
      <c r="G10" s="51" t="s">
        <v>12</v>
      </c>
      <c r="H10" s="51" t="s">
        <v>12</v>
      </c>
      <c r="I10" s="51" t="s">
        <v>12</v>
      </c>
      <c r="J10" s="51" t="s">
        <v>12</v>
      </c>
      <c r="K10" s="51" t="s">
        <v>12</v>
      </c>
      <c r="L10" s="51" t="s">
        <v>12</v>
      </c>
      <c r="M10" s="51" t="s">
        <v>12</v>
      </c>
      <c r="N10" s="51" t="s">
        <v>12</v>
      </c>
      <c r="O10" s="51" t="s">
        <v>12</v>
      </c>
      <c r="P10" s="51" t="s">
        <v>12</v>
      </c>
      <c r="Q10" s="51" t="s">
        <v>12</v>
      </c>
      <c r="R10" s="51" t="s">
        <v>12</v>
      </c>
      <c r="S10" s="51" t="s">
        <v>12</v>
      </c>
      <c r="T10" s="51" t="s">
        <v>12</v>
      </c>
      <c r="U10" s="51" t="s">
        <v>12</v>
      </c>
      <c r="V10" s="51" t="s">
        <v>12</v>
      </c>
      <c r="W10" s="51" t="s">
        <v>12</v>
      </c>
      <c r="X10" s="51" t="s">
        <v>12</v>
      </c>
      <c r="Y10" s="51" t="s">
        <v>12</v>
      </c>
      <c r="Z10" s="51" t="s">
        <v>12</v>
      </c>
      <c r="AA10" s="51" t="s">
        <v>12</v>
      </c>
      <c r="AB10" s="51" t="s">
        <v>12</v>
      </c>
      <c r="AC10" s="51" t="s">
        <v>12</v>
      </c>
      <c r="AD10" s="51" t="s">
        <v>12</v>
      </c>
      <c r="AE10" s="51" t="s">
        <v>12</v>
      </c>
      <c r="AF10" s="51"/>
      <c r="AG10" s="51"/>
      <c r="AH10" s="51"/>
      <c r="AI10" s="51"/>
      <c r="AJ10" s="51"/>
      <c r="AK10" s="51"/>
      <c r="AL10" s="51"/>
      <c r="AM10" s="51"/>
    </row>
    <row r="11" spans="1:39">
      <c r="A11" s="117"/>
      <c r="B11" s="119"/>
      <c r="C11" s="3" t="s">
        <v>8</v>
      </c>
      <c r="D11" s="41">
        <v>139</v>
      </c>
      <c r="E11" s="29">
        <v>263.81</v>
      </c>
      <c r="F11" s="29">
        <v>498.2</v>
      </c>
      <c r="G11" s="29">
        <v>401.54</v>
      </c>
      <c r="H11" s="29">
        <v>617.38</v>
      </c>
      <c r="I11" s="29">
        <v>483.75</v>
      </c>
      <c r="J11" s="29">
        <v>793.32</v>
      </c>
      <c r="K11" s="29">
        <v>-60.19</v>
      </c>
      <c r="L11" s="29">
        <v>-104.19</v>
      </c>
      <c r="M11" s="29">
        <v>406.03</v>
      </c>
      <c r="N11" s="29">
        <v>626.11</v>
      </c>
      <c r="O11" s="29">
        <v>136.59</v>
      </c>
      <c r="P11" s="29">
        <v>179.27</v>
      </c>
      <c r="Q11" s="29">
        <v>487.53</v>
      </c>
      <c r="R11" s="29">
        <v>799.43</v>
      </c>
      <c r="S11" s="29">
        <v>70.84</v>
      </c>
      <c r="T11" s="29">
        <v>77.77</v>
      </c>
      <c r="U11" s="29">
        <v>6.87</v>
      </c>
      <c r="V11" s="29">
        <v>8.77</v>
      </c>
      <c r="W11" s="29">
        <v>-81.47</v>
      </c>
      <c r="X11" s="29">
        <v>1.54</v>
      </c>
      <c r="Y11" s="29">
        <v>56.99</v>
      </c>
      <c r="Z11" s="29" t="s">
        <v>12</v>
      </c>
      <c r="AA11" s="29" t="s">
        <v>12</v>
      </c>
      <c r="AB11" s="51" t="s">
        <v>12</v>
      </c>
      <c r="AC11" s="51" t="s">
        <v>12</v>
      </c>
      <c r="AD11" s="51" t="s">
        <v>12</v>
      </c>
      <c r="AE11" s="29"/>
      <c r="AF11" s="29"/>
      <c r="AG11" s="29"/>
      <c r="AH11" s="29"/>
      <c r="AI11" s="29"/>
      <c r="AJ11" s="29"/>
      <c r="AK11" s="29"/>
      <c r="AL11" s="29"/>
      <c r="AM11" s="29"/>
    </row>
    <row r="12" spans="1:39">
      <c r="A12" s="117"/>
      <c r="B12" s="119"/>
      <c r="C12" s="9" t="s">
        <v>7</v>
      </c>
      <c r="D12" s="41">
        <v>139</v>
      </c>
      <c r="E12" s="30">
        <v>269.10000000000002</v>
      </c>
      <c r="F12" s="30">
        <v>492.94</v>
      </c>
      <c r="G12" s="30">
        <v>413.16</v>
      </c>
      <c r="H12" s="30">
        <v>631.94000000000005</v>
      </c>
      <c r="I12" s="30">
        <v>465.62</v>
      </c>
      <c r="J12" s="30">
        <v>800.23</v>
      </c>
      <c r="K12" s="30">
        <v>-64.09</v>
      </c>
      <c r="L12" s="30">
        <v>-110.05</v>
      </c>
      <c r="M12" s="30">
        <v>418.1</v>
      </c>
      <c r="N12" s="30">
        <v>641.45000000000005</v>
      </c>
      <c r="O12" s="30">
        <v>139.91</v>
      </c>
      <c r="P12" s="30">
        <v>195.28</v>
      </c>
      <c r="Q12" s="30">
        <v>499.83</v>
      </c>
      <c r="R12" s="30">
        <v>806.25</v>
      </c>
      <c r="S12" s="30">
        <v>71.430000000000007</v>
      </c>
      <c r="T12" s="30">
        <v>76.95</v>
      </c>
      <c r="U12" s="30">
        <v>7.43</v>
      </c>
      <c r="V12" s="30">
        <v>9.35</v>
      </c>
      <c r="W12" s="30">
        <v>-81.180000000000007</v>
      </c>
      <c r="X12" s="30">
        <v>1.55</v>
      </c>
      <c r="Y12" s="30">
        <v>57.23</v>
      </c>
      <c r="Z12" s="30" t="s">
        <v>12</v>
      </c>
      <c r="AA12" s="30" t="s">
        <v>12</v>
      </c>
      <c r="AB12" s="46">
        <v>1.66</v>
      </c>
      <c r="AC12" s="46">
        <v>0.20799999999999999</v>
      </c>
      <c r="AD12" s="46">
        <v>-1.8632500000000001</v>
      </c>
      <c r="AE12" s="30"/>
      <c r="AF12" s="30"/>
      <c r="AG12" s="30"/>
      <c r="AH12" s="30"/>
      <c r="AI12" s="30"/>
      <c r="AJ12" s="30"/>
      <c r="AK12" s="30"/>
      <c r="AL12" s="30"/>
      <c r="AM12" s="30"/>
    </row>
    <row r="13" spans="1:39">
      <c r="A13" s="117"/>
      <c r="B13" s="119"/>
      <c r="C13" s="7" t="s">
        <v>18</v>
      </c>
      <c r="D13" s="41">
        <v>139</v>
      </c>
      <c r="E13" s="31">
        <v>272.16000000000003</v>
      </c>
      <c r="F13" s="31">
        <v>503.32</v>
      </c>
      <c r="G13" s="31">
        <v>411.66</v>
      </c>
      <c r="H13" s="31">
        <v>637</v>
      </c>
      <c r="I13" s="31">
        <v>496.29</v>
      </c>
      <c r="J13" s="31">
        <v>806.61</v>
      </c>
      <c r="K13" s="31">
        <v>-59.2</v>
      </c>
      <c r="L13" s="31">
        <v>-111.66</v>
      </c>
      <c r="M13" s="31">
        <v>415.89</v>
      </c>
      <c r="N13" s="31">
        <v>646.71</v>
      </c>
      <c r="O13" s="31">
        <v>141.11000000000001</v>
      </c>
      <c r="P13" s="31">
        <v>189.71</v>
      </c>
      <c r="Q13" s="31">
        <v>499.83</v>
      </c>
      <c r="R13" s="31">
        <v>814.78</v>
      </c>
      <c r="S13" s="31">
        <v>71.150000000000006</v>
      </c>
      <c r="T13" s="31">
        <v>77.16</v>
      </c>
      <c r="U13" s="31">
        <v>6.82</v>
      </c>
      <c r="V13" s="31">
        <v>8.48</v>
      </c>
      <c r="W13" s="31">
        <v>-81.819999999999993</v>
      </c>
      <c r="X13" s="31">
        <v>1.53</v>
      </c>
      <c r="Y13" s="31">
        <v>56.8</v>
      </c>
      <c r="Z13" s="31" t="s">
        <v>12</v>
      </c>
      <c r="AA13" s="31" t="s">
        <v>12</v>
      </c>
      <c r="AB13" s="47">
        <v>1.47</v>
      </c>
      <c r="AC13" s="47">
        <v>0.1575</v>
      </c>
      <c r="AD13" s="47">
        <v>-1.7962</v>
      </c>
      <c r="AE13" s="31"/>
      <c r="AF13" s="31"/>
      <c r="AG13" s="31"/>
      <c r="AH13" s="31"/>
      <c r="AI13" s="31"/>
      <c r="AJ13" s="31"/>
      <c r="AK13" s="31"/>
      <c r="AL13" s="31"/>
      <c r="AM13" s="31"/>
    </row>
    <row r="14" spans="1:39">
      <c r="A14" s="117"/>
      <c r="B14" s="119"/>
      <c r="C14" s="6" t="s">
        <v>19</v>
      </c>
      <c r="D14" s="41">
        <v>139</v>
      </c>
      <c r="E14" s="32">
        <v>270.39999999999998</v>
      </c>
      <c r="F14" s="32">
        <v>492.97</v>
      </c>
      <c r="G14" s="32">
        <v>292.13</v>
      </c>
      <c r="H14" s="32">
        <v>601.92999999999995</v>
      </c>
      <c r="I14" s="32">
        <v>478.98</v>
      </c>
      <c r="J14" s="32">
        <v>777.39</v>
      </c>
      <c r="K14" s="32">
        <v>-54.81</v>
      </c>
      <c r="L14" s="32">
        <v>-101.11</v>
      </c>
      <c r="M14" s="32">
        <v>297.23</v>
      </c>
      <c r="N14" s="32">
        <v>610.36</v>
      </c>
      <c r="O14" s="32">
        <v>131.66</v>
      </c>
      <c r="P14" s="32">
        <v>178.66</v>
      </c>
      <c r="Q14" s="32">
        <v>482.14</v>
      </c>
      <c r="R14" s="32">
        <v>782.1</v>
      </c>
      <c r="S14" s="32">
        <v>71.67</v>
      </c>
      <c r="T14" s="32">
        <v>77.790000000000006</v>
      </c>
      <c r="U14" s="32">
        <v>6.51</v>
      </c>
      <c r="V14" s="32">
        <v>8.34</v>
      </c>
      <c r="W14" s="32">
        <v>-79.37</v>
      </c>
      <c r="X14" s="32">
        <v>1.1000000000000001</v>
      </c>
      <c r="Y14" s="32">
        <v>47.71</v>
      </c>
      <c r="Z14" s="32" t="s">
        <v>12</v>
      </c>
      <c r="AA14" s="32" t="s">
        <v>12</v>
      </c>
      <c r="AB14" s="51" t="s">
        <v>12</v>
      </c>
      <c r="AC14" s="51" t="s">
        <v>12</v>
      </c>
      <c r="AD14" s="51" t="s">
        <v>12</v>
      </c>
      <c r="AE14" s="32"/>
      <c r="AF14" s="32"/>
      <c r="AG14" s="32"/>
      <c r="AH14" s="32"/>
      <c r="AI14" s="32"/>
      <c r="AJ14" s="32"/>
      <c r="AK14" s="32"/>
      <c r="AL14" s="32"/>
      <c r="AM14" s="32"/>
    </row>
    <row r="15" spans="1:39">
      <c r="A15" s="117"/>
      <c r="B15" s="119"/>
      <c r="C15" s="4" t="s">
        <v>23</v>
      </c>
      <c r="D15" s="41">
        <v>139</v>
      </c>
      <c r="E15" s="51" t="s">
        <v>12</v>
      </c>
      <c r="F15" s="51" t="s">
        <v>12</v>
      </c>
      <c r="G15" s="51" t="s">
        <v>12</v>
      </c>
      <c r="H15" s="51" t="s">
        <v>12</v>
      </c>
      <c r="I15" s="51" t="s">
        <v>12</v>
      </c>
      <c r="J15" s="51" t="s">
        <v>12</v>
      </c>
      <c r="K15" s="51" t="s">
        <v>12</v>
      </c>
      <c r="L15" s="51" t="s">
        <v>12</v>
      </c>
      <c r="M15" s="51" t="s">
        <v>12</v>
      </c>
      <c r="N15" s="51" t="s">
        <v>12</v>
      </c>
      <c r="O15" s="51" t="s">
        <v>12</v>
      </c>
      <c r="P15" s="51" t="s">
        <v>12</v>
      </c>
      <c r="Q15" s="51" t="s">
        <v>12</v>
      </c>
      <c r="R15" s="51" t="s">
        <v>12</v>
      </c>
      <c r="S15" s="51" t="s">
        <v>12</v>
      </c>
      <c r="T15" s="51" t="s">
        <v>12</v>
      </c>
      <c r="U15" s="51" t="s">
        <v>12</v>
      </c>
      <c r="V15" s="51" t="s">
        <v>12</v>
      </c>
      <c r="W15" s="51" t="s">
        <v>12</v>
      </c>
      <c r="X15" s="51" t="s">
        <v>12</v>
      </c>
      <c r="Y15" s="51" t="s">
        <v>12</v>
      </c>
      <c r="Z15" s="51" t="s">
        <v>12</v>
      </c>
      <c r="AA15" s="51" t="s">
        <v>12</v>
      </c>
      <c r="AB15" s="51" t="s">
        <v>12</v>
      </c>
      <c r="AC15" s="51" t="s">
        <v>12</v>
      </c>
      <c r="AD15" s="51" t="s">
        <v>12</v>
      </c>
      <c r="AE15" s="51" t="s">
        <v>12</v>
      </c>
      <c r="AF15" s="51"/>
      <c r="AG15" s="51"/>
      <c r="AH15" s="51"/>
      <c r="AI15" s="51"/>
      <c r="AJ15" s="51"/>
      <c r="AK15" s="51"/>
      <c r="AL15" s="51"/>
      <c r="AM15" s="51"/>
    </row>
    <row r="16" spans="1:39">
      <c r="A16" s="117"/>
      <c r="B16" s="119"/>
      <c r="C16" s="10" t="s">
        <v>24</v>
      </c>
      <c r="D16" s="41">
        <v>139</v>
      </c>
      <c r="E16" s="34">
        <v>269.64</v>
      </c>
      <c r="F16" s="34">
        <v>503.02</v>
      </c>
      <c r="G16" s="34">
        <v>416.03</v>
      </c>
      <c r="H16" s="34">
        <v>643.79</v>
      </c>
      <c r="I16" s="34">
        <v>499</v>
      </c>
      <c r="J16" s="34">
        <v>814.15</v>
      </c>
      <c r="K16" s="34">
        <v>-60.28</v>
      </c>
      <c r="L16" s="34">
        <v>-108.32</v>
      </c>
      <c r="M16" s="34">
        <v>420.37</v>
      </c>
      <c r="N16" s="34">
        <v>652.84</v>
      </c>
      <c r="O16" s="34">
        <v>144.16</v>
      </c>
      <c r="P16" s="34">
        <v>196.65</v>
      </c>
      <c r="Q16" s="34">
        <v>502.66</v>
      </c>
      <c r="R16" s="34">
        <v>820.37</v>
      </c>
      <c r="S16" s="34">
        <v>70.819999999999993</v>
      </c>
      <c r="T16" s="34">
        <v>77.95</v>
      </c>
      <c r="U16" s="34">
        <v>6.99</v>
      </c>
      <c r="V16" s="34">
        <v>9.91</v>
      </c>
      <c r="W16" s="34">
        <v>-81.760000000000005</v>
      </c>
      <c r="X16" s="34">
        <v>1.56</v>
      </c>
      <c r="Y16" s="34">
        <v>57.32</v>
      </c>
      <c r="Z16" s="34" t="s">
        <v>12</v>
      </c>
      <c r="AA16" s="34" t="s">
        <v>12</v>
      </c>
      <c r="AB16" s="51" t="s">
        <v>12</v>
      </c>
      <c r="AC16" s="51" t="s">
        <v>12</v>
      </c>
      <c r="AD16" s="51" t="s">
        <v>12</v>
      </c>
      <c r="AE16" s="34"/>
      <c r="AF16" s="34"/>
      <c r="AG16" s="34"/>
      <c r="AH16" s="34"/>
      <c r="AI16" s="34"/>
      <c r="AJ16" s="34"/>
      <c r="AK16" s="34"/>
      <c r="AL16" s="34"/>
      <c r="AM16" s="34"/>
    </row>
    <row r="17" spans="1:39">
      <c r="A17" s="117"/>
      <c r="B17" s="119"/>
      <c r="C17" s="11" t="s">
        <v>25</v>
      </c>
      <c r="D17" s="41">
        <v>139</v>
      </c>
      <c r="E17" s="35">
        <v>259.27</v>
      </c>
      <c r="F17" s="35">
        <v>474.72</v>
      </c>
      <c r="G17" s="35">
        <v>371.1</v>
      </c>
      <c r="H17" s="35">
        <v>571.87</v>
      </c>
      <c r="I17" s="35">
        <v>455.13</v>
      </c>
      <c r="J17" s="35">
        <v>736.61</v>
      </c>
      <c r="K17" s="35">
        <v>-51.95</v>
      </c>
      <c r="L17" s="35">
        <v>-92.49</v>
      </c>
      <c r="M17" s="35">
        <v>374.72</v>
      </c>
      <c r="N17" s="35">
        <v>579.29999999999995</v>
      </c>
      <c r="O17" s="35">
        <v>123.39</v>
      </c>
      <c r="P17" s="35">
        <v>162.84</v>
      </c>
      <c r="Q17" s="35">
        <v>458.11</v>
      </c>
      <c r="R17" s="35">
        <v>741.91</v>
      </c>
      <c r="S17" s="35">
        <v>71.86</v>
      </c>
      <c r="T17" s="35">
        <v>77.67</v>
      </c>
      <c r="U17" s="35">
        <v>6.5</v>
      </c>
      <c r="V17" s="35">
        <v>7.56</v>
      </c>
      <c r="W17" s="35">
        <v>-82.03</v>
      </c>
      <c r="X17" s="35">
        <v>1.45</v>
      </c>
      <c r="Y17" s="35">
        <v>55.32</v>
      </c>
      <c r="Z17" s="35" t="s">
        <v>12</v>
      </c>
      <c r="AA17" s="35" t="s">
        <v>12</v>
      </c>
      <c r="AB17" s="51" t="s">
        <v>12</v>
      </c>
      <c r="AC17" s="51" t="s">
        <v>12</v>
      </c>
      <c r="AD17" s="51" t="s">
        <v>12</v>
      </c>
      <c r="AE17" s="35"/>
      <c r="AF17" s="35"/>
      <c r="AG17" s="35"/>
      <c r="AH17" s="35"/>
      <c r="AI17" s="35"/>
      <c r="AJ17" s="35"/>
      <c r="AK17" s="35"/>
      <c r="AL17" s="35"/>
      <c r="AM17" s="35"/>
    </row>
    <row r="18" spans="1:39">
      <c r="A18" s="117"/>
      <c r="B18" s="119"/>
      <c r="C18" s="8" t="s">
        <v>26</v>
      </c>
      <c r="D18" s="41">
        <v>139</v>
      </c>
      <c r="E18" s="36">
        <v>281.93</v>
      </c>
      <c r="F18" s="36">
        <v>531.71</v>
      </c>
      <c r="G18" s="36">
        <v>416.32</v>
      </c>
      <c r="H18" s="36">
        <v>644.9</v>
      </c>
      <c r="I18" s="36">
        <v>506.08</v>
      </c>
      <c r="J18" s="36">
        <v>831.14</v>
      </c>
      <c r="K18" s="36">
        <v>-54.71</v>
      </c>
      <c r="L18" s="36">
        <v>-101.19</v>
      </c>
      <c r="M18" s="36">
        <v>419.9</v>
      </c>
      <c r="N18" s="36">
        <v>652.79</v>
      </c>
      <c r="O18" s="36">
        <v>143.85</v>
      </c>
      <c r="P18" s="36">
        <v>189.03</v>
      </c>
      <c r="Q18" s="36">
        <v>509.04</v>
      </c>
      <c r="R18" s="36">
        <v>836.2</v>
      </c>
      <c r="S18" s="36">
        <v>70.819999999999993</v>
      </c>
      <c r="T18" s="36">
        <v>77.989999999999995</v>
      </c>
      <c r="U18" s="36">
        <v>6.21</v>
      </c>
      <c r="V18" s="36">
        <v>7.7</v>
      </c>
      <c r="W18" s="36">
        <v>-82.51</v>
      </c>
      <c r="X18" s="36">
        <v>1.49</v>
      </c>
      <c r="Y18" s="36">
        <v>56.12</v>
      </c>
      <c r="Z18" s="36" t="s">
        <v>12</v>
      </c>
      <c r="AA18" s="36" t="s">
        <v>12</v>
      </c>
      <c r="AB18" s="51" t="s">
        <v>12</v>
      </c>
      <c r="AC18" s="51" t="s">
        <v>12</v>
      </c>
      <c r="AD18" s="51" t="s">
        <v>12</v>
      </c>
      <c r="AE18" s="36"/>
      <c r="AF18" s="36"/>
      <c r="AG18" s="36"/>
      <c r="AH18" s="36"/>
      <c r="AI18" s="36"/>
      <c r="AJ18" s="36"/>
      <c r="AK18" s="36"/>
      <c r="AL18" s="36"/>
      <c r="AM18" s="36"/>
    </row>
    <row r="19" spans="1:39">
      <c r="A19" s="117"/>
      <c r="B19" s="119"/>
      <c r="C19" s="19" t="s">
        <v>27</v>
      </c>
      <c r="D19" s="41">
        <v>139</v>
      </c>
      <c r="E19" s="38">
        <v>278.88</v>
      </c>
      <c r="F19" s="38">
        <v>507.95</v>
      </c>
      <c r="G19" s="38">
        <v>397.42</v>
      </c>
      <c r="H19" s="38">
        <v>617.08000000000004</v>
      </c>
      <c r="I19" s="38">
        <v>487.71</v>
      </c>
      <c r="J19" s="38">
        <v>798.92</v>
      </c>
      <c r="K19" s="38">
        <v>-62.63</v>
      </c>
      <c r="L19" s="38">
        <v>-110.31</v>
      </c>
      <c r="M19" s="38">
        <v>402.32</v>
      </c>
      <c r="N19" s="38">
        <v>626.86</v>
      </c>
      <c r="O19" s="38">
        <v>127.07</v>
      </c>
      <c r="P19" s="42">
        <v>174.75</v>
      </c>
      <c r="Q19" s="38">
        <v>491.76</v>
      </c>
      <c r="R19" s="38">
        <v>804.92</v>
      </c>
      <c r="S19" s="38">
        <v>72.75</v>
      </c>
      <c r="T19" s="38">
        <v>78.2</v>
      </c>
      <c r="U19" s="38">
        <v>7.34</v>
      </c>
      <c r="V19" s="38">
        <v>8.9499999999999993</v>
      </c>
      <c r="W19" s="38">
        <v>-81.040000000000006</v>
      </c>
      <c r="X19" s="38">
        <v>1.44</v>
      </c>
      <c r="Y19" s="38">
        <v>55.27</v>
      </c>
      <c r="Z19" s="38" t="s">
        <v>12</v>
      </c>
      <c r="AA19" s="38" t="s">
        <v>12</v>
      </c>
      <c r="AB19" s="50">
        <v>0.996</v>
      </c>
      <c r="AC19" s="50">
        <v>0.10199999999999999</v>
      </c>
      <c r="AD19" s="50">
        <v>-1.925</v>
      </c>
      <c r="AE19" s="38"/>
      <c r="AF19" s="38"/>
      <c r="AG19" s="38"/>
      <c r="AH19" s="38"/>
      <c r="AI19" s="38"/>
      <c r="AJ19" s="38"/>
      <c r="AK19" s="38"/>
      <c r="AL19" s="38"/>
      <c r="AM19" s="38"/>
    </row>
    <row r="20" spans="1:39">
      <c r="A20" s="117"/>
      <c r="B20" s="120"/>
      <c r="C20" s="21" t="s">
        <v>28</v>
      </c>
      <c r="D20" s="41">
        <v>139</v>
      </c>
      <c r="E20" s="37">
        <v>285.39999999999998</v>
      </c>
      <c r="F20" s="37">
        <v>522.13</v>
      </c>
      <c r="G20" s="37">
        <v>411.06</v>
      </c>
      <c r="H20" s="37">
        <v>638.14</v>
      </c>
      <c r="I20" s="37">
        <v>503.02</v>
      </c>
      <c r="J20" s="37">
        <v>824.52</v>
      </c>
      <c r="K20" s="37">
        <v>-65.36</v>
      </c>
      <c r="L20" s="37">
        <v>-114.43</v>
      </c>
      <c r="M20" s="37">
        <v>416.22</v>
      </c>
      <c r="N20" s="37">
        <v>648.32000000000005</v>
      </c>
      <c r="O20" s="37">
        <v>132.09</v>
      </c>
      <c r="P20" s="37">
        <v>180.86</v>
      </c>
      <c r="Q20" s="37">
        <v>507.29</v>
      </c>
      <c r="R20" s="37">
        <v>830.23</v>
      </c>
      <c r="S20" s="37">
        <v>72.48</v>
      </c>
      <c r="T20" s="37">
        <v>78.16</v>
      </c>
      <c r="U20" s="37">
        <v>7.48</v>
      </c>
      <c r="V20" s="37">
        <v>10.19</v>
      </c>
      <c r="W20" s="37">
        <v>-80.97</v>
      </c>
      <c r="X20" s="37">
        <v>1.46</v>
      </c>
      <c r="Y20" s="37">
        <v>55.56</v>
      </c>
      <c r="Z20" s="37" t="s">
        <v>12</v>
      </c>
      <c r="AA20" s="37" t="s">
        <v>12</v>
      </c>
      <c r="AB20" s="51" t="s">
        <v>12</v>
      </c>
      <c r="AC20" s="51" t="s">
        <v>12</v>
      </c>
      <c r="AD20" s="51" t="s">
        <v>12</v>
      </c>
      <c r="AE20" s="37"/>
      <c r="AF20" s="37"/>
      <c r="AG20" s="37"/>
      <c r="AH20" s="37"/>
      <c r="AI20" s="37"/>
      <c r="AJ20" s="37"/>
      <c r="AK20" s="37"/>
      <c r="AL20" s="37"/>
      <c r="AM20" s="37"/>
    </row>
    <row r="21" spans="1:39">
      <c r="A21" s="117"/>
      <c r="B21" s="118">
        <v>2</v>
      </c>
      <c r="C21" s="2" t="s">
        <v>16</v>
      </c>
      <c r="D21" s="41">
        <v>11389</v>
      </c>
      <c r="E21" s="25">
        <v>265.8</v>
      </c>
      <c r="F21" s="25">
        <v>496.95</v>
      </c>
      <c r="G21" s="25">
        <v>424.66</v>
      </c>
      <c r="H21" s="25">
        <v>643.76</v>
      </c>
      <c r="I21" s="25">
        <v>504.31</v>
      </c>
      <c r="J21" s="25">
        <v>809.18</v>
      </c>
      <c r="K21" s="25">
        <v>-61.28</v>
      </c>
      <c r="L21" s="25">
        <v>-109.27</v>
      </c>
      <c r="M21" s="25">
        <v>429.06</v>
      </c>
      <c r="N21" s="25">
        <v>652.97</v>
      </c>
      <c r="O21" s="25">
        <v>150.54</v>
      </c>
      <c r="P21" s="25">
        <v>195.12</v>
      </c>
      <c r="Q21" s="25">
        <v>508.14</v>
      </c>
      <c r="R21" s="25">
        <v>815.06</v>
      </c>
      <c r="S21" s="25">
        <v>70.25</v>
      </c>
      <c r="T21" s="25">
        <v>76.52</v>
      </c>
      <c r="U21" s="25">
        <v>6.72</v>
      </c>
      <c r="V21" s="25">
        <v>8.34</v>
      </c>
      <c r="W21" s="25">
        <v>-81.790000000000006</v>
      </c>
      <c r="X21" s="25">
        <v>1.61</v>
      </c>
      <c r="Y21" s="25">
        <v>58.22</v>
      </c>
      <c r="Z21" s="25">
        <v>24.72</v>
      </c>
      <c r="AA21" s="25">
        <v>21.17</v>
      </c>
      <c r="AB21" s="51" t="s">
        <v>12</v>
      </c>
      <c r="AC21" s="51" t="s">
        <v>12</v>
      </c>
      <c r="AD21" s="51" t="s">
        <v>12</v>
      </c>
      <c r="AE21" s="25"/>
      <c r="AF21" s="25"/>
      <c r="AG21" s="25"/>
      <c r="AH21" s="25"/>
      <c r="AI21" s="25"/>
      <c r="AJ21" s="25"/>
      <c r="AK21" s="25"/>
      <c r="AL21" s="25"/>
      <c r="AM21" s="25"/>
    </row>
    <row r="22" spans="1:39">
      <c r="A22" s="117"/>
      <c r="B22" s="119"/>
      <c r="C22" s="1" t="s">
        <v>15</v>
      </c>
      <c r="D22" s="41">
        <v>11389</v>
      </c>
      <c r="E22" s="26">
        <v>270.18</v>
      </c>
      <c r="F22" s="26">
        <v>505.57</v>
      </c>
      <c r="G22" s="26">
        <v>427.17</v>
      </c>
      <c r="H22" s="26">
        <v>653.59</v>
      </c>
      <c r="I22" s="26">
        <v>508.65</v>
      </c>
      <c r="J22" s="26">
        <v>823.86</v>
      </c>
      <c r="K22" s="26">
        <v>-58.88</v>
      </c>
      <c r="L22" s="26">
        <v>-111.33</v>
      </c>
      <c r="M22" s="26">
        <v>431.21</v>
      </c>
      <c r="N22" s="26">
        <v>663</v>
      </c>
      <c r="O22" s="26">
        <v>152.31</v>
      </c>
      <c r="P22" s="26">
        <v>200.43</v>
      </c>
      <c r="Q22" s="26">
        <v>512.08000000000004</v>
      </c>
      <c r="R22" s="26">
        <v>830.24</v>
      </c>
      <c r="S22" s="26">
        <v>70</v>
      </c>
      <c r="T22" s="26">
        <v>78.28</v>
      </c>
      <c r="U22" s="26">
        <v>6.42</v>
      </c>
      <c r="V22" s="26">
        <v>8.91</v>
      </c>
      <c r="W22" s="26">
        <v>-82.15</v>
      </c>
      <c r="X22" s="26">
        <v>1.6</v>
      </c>
      <c r="Y22" s="26">
        <v>57.93</v>
      </c>
      <c r="Z22" s="26">
        <v>35.86</v>
      </c>
      <c r="AA22" s="26">
        <v>24.17</v>
      </c>
      <c r="AB22" s="51" t="s">
        <v>12</v>
      </c>
      <c r="AC22" s="51" t="s">
        <v>12</v>
      </c>
      <c r="AD22" s="51" t="s">
        <v>12</v>
      </c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>
      <c r="A23" s="117"/>
      <c r="B23" s="119"/>
      <c r="C23" s="5" t="s">
        <v>14</v>
      </c>
      <c r="D23" s="41">
        <v>11389</v>
      </c>
      <c r="E23" s="27">
        <v>267.63</v>
      </c>
      <c r="F23" s="27">
        <v>493.22</v>
      </c>
      <c r="G23" s="27">
        <v>387.27</v>
      </c>
      <c r="H23" s="27">
        <v>590.27</v>
      </c>
      <c r="I23" s="27">
        <v>473.47</v>
      </c>
      <c r="J23" s="27">
        <v>765.56</v>
      </c>
      <c r="K23" s="27">
        <v>-55.18</v>
      </c>
      <c r="L23" s="27">
        <v>-93.79</v>
      </c>
      <c r="M23" s="27">
        <v>391.18</v>
      </c>
      <c r="N23" s="27">
        <v>597.66999999999996</v>
      </c>
      <c r="O23" s="27">
        <v>129.13</v>
      </c>
      <c r="P23" s="27">
        <v>173.21</v>
      </c>
      <c r="Q23" s="27">
        <v>476.75</v>
      </c>
      <c r="R23" s="27">
        <v>769.77</v>
      </c>
      <c r="S23" s="27">
        <v>71.94</v>
      </c>
      <c r="T23" s="27">
        <v>77.489999999999995</v>
      </c>
      <c r="U23" s="27">
        <v>6.7</v>
      </c>
      <c r="V23" s="27">
        <v>8.5299999999999994</v>
      </c>
      <c r="W23" s="27">
        <v>-81.89</v>
      </c>
      <c r="X23" s="27">
        <v>1.46</v>
      </c>
      <c r="Y23" s="27">
        <v>55.62</v>
      </c>
      <c r="Z23" s="27">
        <v>26.12</v>
      </c>
      <c r="AA23" s="27">
        <v>16.73</v>
      </c>
      <c r="AB23" s="51" t="s">
        <v>12</v>
      </c>
      <c r="AC23" s="51" t="s">
        <v>12</v>
      </c>
      <c r="AD23" s="51" t="s">
        <v>12</v>
      </c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>
      <c r="A24" s="117"/>
      <c r="B24" s="119"/>
      <c r="C24" s="12" t="s">
        <v>11</v>
      </c>
      <c r="D24" s="41">
        <v>11389</v>
      </c>
      <c r="E24" s="28">
        <v>265.04000000000002</v>
      </c>
      <c r="F24" s="28">
        <v>502.79</v>
      </c>
      <c r="G24" s="28">
        <v>389.03</v>
      </c>
      <c r="H24" s="28">
        <v>613.35</v>
      </c>
      <c r="I24" s="28">
        <v>473.02</v>
      </c>
      <c r="J24" s="28">
        <v>785.23</v>
      </c>
      <c r="K24" s="28">
        <v>-66.400000000000006</v>
      </c>
      <c r="L24" s="28">
        <v>-144.46</v>
      </c>
      <c r="M24" s="28">
        <v>394.66</v>
      </c>
      <c r="N24" s="28">
        <v>630.13</v>
      </c>
      <c r="O24" s="28">
        <v>123.72</v>
      </c>
      <c r="P24" s="28">
        <v>197.31</v>
      </c>
      <c r="Q24" s="28">
        <v>477.89</v>
      </c>
      <c r="R24" s="28">
        <v>795.55</v>
      </c>
      <c r="S24" s="28">
        <v>72.92</v>
      </c>
      <c r="T24" s="28">
        <v>80.459999999999994</v>
      </c>
      <c r="U24" s="28">
        <v>7.99</v>
      </c>
      <c r="V24" s="28">
        <v>14.93</v>
      </c>
      <c r="W24" s="28">
        <v>-80.31</v>
      </c>
      <c r="X24" s="28">
        <v>1.49</v>
      </c>
      <c r="Y24" s="28">
        <v>56.12</v>
      </c>
      <c r="Z24" s="28">
        <v>19.62</v>
      </c>
      <c r="AA24" s="28">
        <v>19</v>
      </c>
      <c r="AB24" s="45">
        <v>2.6</v>
      </c>
      <c r="AC24" s="45">
        <v>0.25600000000000001</v>
      </c>
      <c r="AD24" s="45">
        <v>-1.4232</v>
      </c>
      <c r="AE24" s="28"/>
      <c r="AF24" s="28"/>
      <c r="AG24" s="28"/>
      <c r="AH24" s="28"/>
      <c r="AI24" s="28"/>
      <c r="AJ24" s="28"/>
      <c r="AK24" s="28"/>
      <c r="AL24" s="28"/>
      <c r="AM24" s="28"/>
    </row>
    <row r="25" spans="1:39">
      <c r="A25" s="117"/>
      <c r="B25" s="119"/>
      <c r="C25" s="3" t="s">
        <v>8</v>
      </c>
      <c r="D25" s="41">
        <v>11389</v>
      </c>
      <c r="E25" s="29">
        <v>261.93</v>
      </c>
      <c r="F25" s="29">
        <v>498.92</v>
      </c>
      <c r="G25" s="29">
        <v>423.83</v>
      </c>
      <c r="H25" s="29">
        <v>640.29999999999995</v>
      </c>
      <c r="I25" s="29">
        <v>502.39</v>
      </c>
      <c r="J25" s="29">
        <v>805.57</v>
      </c>
      <c r="K25" s="29">
        <v>-61.35</v>
      </c>
      <c r="L25" s="29">
        <v>-103.25</v>
      </c>
      <c r="M25" s="29">
        <v>428.25</v>
      </c>
      <c r="N25" s="29">
        <v>648.57000000000005</v>
      </c>
      <c r="O25" s="29">
        <v>151.27000000000001</v>
      </c>
      <c r="P25" s="29">
        <v>194.85</v>
      </c>
      <c r="Q25" s="29">
        <v>506.19</v>
      </c>
      <c r="R25" s="29">
        <v>811.17</v>
      </c>
      <c r="S25" s="29">
        <v>69.739999999999995</v>
      </c>
      <c r="T25" s="29">
        <v>76.81</v>
      </c>
      <c r="U25" s="29">
        <v>6.85</v>
      </c>
      <c r="V25" s="29">
        <v>10.029999999999999</v>
      </c>
      <c r="W25" s="29">
        <v>-81.760000000000005</v>
      </c>
      <c r="X25" s="29">
        <v>1.63</v>
      </c>
      <c r="Y25" s="29">
        <v>58.55</v>
      </c>
      <c r="Z25" s="29">
        <v>71.180000000000007</v>
      </c>
      <c r="AA25" s="51" t="s">
        <v>12</v>
      </c>
      <c r="AB25" s="51" t="s">
        <v>12</v>
      </c>
      <c r="AC25" s="51" t="s">
        <v>12</v>
      </c>
      <c r="AD25" s="51" t="s">
        <v>12</v>
      </c>
      <c r="AE25" s="51" t="s">
        <v>12</v>
      </c>
      <c r="AF25" s="51"/>
      <c r="AG25" s="51"/>
      <c r="AH25" s="29"/>
      <c r="AI25" s="29"/>
      <c r="AJ25" s="29"/>
      <c r="AK25" s="29"/>
      <c r="AL25" s="29"/>
      <c r="AM25" s="29"/>
    </row>
    <row r="26" spans="1:39">
      <c r="A26" s="117"/>
      <c r="B26" s="119"/>
      <c r="C26" s="9" t="s">
        <v>7</v>
      </c>
      <c r="D26" s="41">
        <v>11389</v>
      </c>
      <c r="E26" s="30">
        <v>271.13</v>
      </c>
      <c r="F26" s="30">
        <v>503.35</v>
      </c>
      <c r="G26" s="30">
        <v>440.18</v>
      </c>
      <c r="H26" s="30">
        <v>660.12</v>
      </c>
      <c r="I26" s="30">
        <v>520.42999999999995</v>
      </c>
      <c r="J26" s="30">
        <v>826.37</v>
      </c>
      <c r="K26" s="30">
        <v>-64.97</v>
      </c>
      <c r="L26" s="30">
        <v>-111.65</v>
      </c>
      <c r="M26" s="30">
        <v>444.95</v>
      </c>
      <c r="N26" s="30">
        <v>669.5</v>
      </c>
      <c r="O26" s="30">
        <v>156.58000000000001</v>
      </c>
      <c r="P26" s="30">
        <v>206.84</v>
      </c>
      <c r="Q26" s="30">
        <v>524.54999999999995</v>
      </c>
      <c r="R26" s="30">
        <v>831.58</v>
      </c>
      <c r="S26" s="30">
        <v>70.08</v>
      </c>
      <c r="T26" s="30">
        <v>76.19</v>
      </c>
      <c r="U26" s="30">
        <v>7.05</v>
      </c>
      <c r="V26" s="30">
        <v>9.49</v>
      </c>
      <c r="W26" s="30">
        <v>-81.599999999999994</v>
      </c>
      <c r="X26" s="30">
        <v>1.64</v>
      </c>
      <c r="Y26" s="30">
        <v>58.64</v>
      </c>
      <c r="Z26" s="30">
        <v>36.54</v>
      </c>
      <c r="AA26" s="30">
        <v>30.49</v>
      </c>
      <c r="AB26" s="46">
        <v>2.9079999999999999</v>
      </c>
      <c r="AC26" s="46">
        <v>0.35399999999999998</v>
      </c>
      <c r="AD26" s="46">
        <v>-1.974</v>
      </c>
      <c r="AE26" s="30"/>
      <c r="AF26" s="30"/>
      <c r="AG26" s="30"/>
      <c r="AH26" s="30"/>
      <c r="AI26" s="30"/>
      <c r="AJ26" s="30"/>
      <c r="AK26" s="30"/>
      <c r="AL26" s="30"/>
      <c r="AM26" s="30"/>
    </row>
    <row r="27" spans="1:39">
      <c r="A27" s="117"/>
      <c r="B27" s="119"/>
      <c r="C27" s="7" t="s">
        <v>18</v>
      </c>
      <c r="D27" s="41">
        <v>11389</v>
      </c>
      <c r="E27" s="31">
        <v>270.58</v>
      </c>
      <c r="F27" s="31">
        <v>501.01</v>
      </c>
      <c r="G27" s="31">
        <v>425.92</v>
      </c>
      <c r="H27" s="31">
        <v>655.01</v>
      </c>
      <c r="I27" s="31">
        <v>507.56</v>
      </c>
      <c r="J27" s="31">
        <v>819.87</v>
      </c>
      <c r="K27" s="31">
        <v>-55.47</v>
      </c>
      <c r="L27" s="31">
        <v>-99.02</v>
      </c>
      <c r="M27" s="31">
        <v>429.52</v>
      </c>
      <c r="N27" s="31">
        <v>662.45</v>
      </c>
      <c r="O27" s="31">
        <v>153.61000000000001</v>
      </c>
      <c r="P27" s="31">
        <v>210.89</v>
      </c>
      <c r="Q27" s="31">
        <v>510.68</v>
      </c>
      <c r="R27" s="31">
        <v>823.8</v>
      </c>
      <c r="S27" s="31">
        <v>69.92</v>
      </c>
      <c r="T27" s="31">
        <v>75.8</v>
      </c>
      <c r="U27" s="31">
        <v>6.11</v>
      </c>
      <c r="V27" s="31">
        <v>7.9</v>
      </c>
      <c r="W27" s="31">
        <v>-82.58</v>
      </c>
      <c r="X27" s="31">
        <v>1.59</v>
      </c>
      <c r="Y27" s="31">
        <v>57.79</v>
      </c>
      <c r="Z27" s="31">
        <v>31.47</v>
      </c>
      <c r="AA27" s="31">
        <v>26.63</v>
      </c>
      <c r="AB27" s="51" t="s">
        <v>12</v>
      </c>
      <c r="AC27" s="51" t="s">
        <v>12</v>
      </c>
      <c r="AD27" s="51" t="s">
        <v>12</v>
      </c>
      <c r="AE27" s="31"/>
      <c r="AF27" s="31"/>
      <c r="AG27" s="31"/>
      <c r="AH27" s="31"/>
      <c r="AI27" s="31"/>
      <c r="AJ27" s="31"/>
      <c r="AK27" s="31"/>
      <c r="AL27" s="31"/>
      <c r="AM27" s="31"/>
    </row>
    <row r="28" spans="1:39" ht="14.25" customHeight="1">
      <c r="A28" s="117"/>
      <c r="B28" s="119"/>
      <c r="C28" s="6" t="s">
        <v>19</v>
      </c>
      <c r="D28" s="41">
        <v>11389</v>
      </c>
      <c r="E28" s="32">
        <v>265.61</v>
      </c>
      <c r="F28" s="32">
        <v>493.27</v>
      </c>
      <c r="G28" s="32">
        <v>423.26</v>
      </c>
      <c r="H28" s="32">
        <v>635.03</v>
      </c>
      <c r="I28" s="32">
        <v>503.46</v>
      </c>
      <c r="J28" s="32">
        <v>800.03</v>
      </c>
      <c r="K28" s="32">
        <v>-51.15</v>
      </c>
      <c r="L28" s="32">
        <v>-90.14</v>
      </c>
      <c r="M28" s="32">
        <v>426.34</v>
      </c>
      <c r="N28" s="32">
        <v>641.4</v>
      </c>
      <c r="O28" s="32">
        <v>156.41</v>
      </c>
      <c r="P28" s="32">
        <v>205.88</v>
      </c>
      <c r="Q28" s="32">
        <v>506.14</v>
      </c>
      <c r="R28" s="32">
        <v>803.82</v>
      </c>
      <c r="S28" s="32">
        <v>69.38</v>
      </c>
      <c r="T28" s="32">
        <v>75.73</v>
      </c>
      <c r="U28" s="32">
        <v>5.75</v>
      </c>
      <c r="V28" s="32">
        <v>8.4</v>
      </c>
      <c r="W28" s="32">
        <v>-83.11</v>
      </c>
      <c r="X28" s="32">
        <v>1.61</v>
      </c>
      <c r="Y28" s="32">
        <v>58.08</v>
      </c>
      <c r="Z28" s="32">
        <v>41.14</v>
      </c>
      <c r="AA28" s="32">
        <v>33.25</v>
      </c>
      <c r="AB28" s="51" t="s">
        <v>12</v>
      </c>
      <c r="AC28" s="51" t="s">
        <v>12</v>
      </c>
      <c r="AD28" s="51" t="s">
        <v>12</v>
      </c>
      <c r="AE28" s="32"/>
      <c r="AF28" s="32"/>
      <c r="AG28" s="32"/>
      <c r="AH28" s="32"/>
      <c r="AI28" s="32"/>
      <c r="AJ28" s="32"/>
      <c r="AK28" s="32"/>
      <c r="AL28" s="32"/>
      <c r="AM28" s="32"/>
    </row>
    <row r="29" spans="1:39">
      <c r="A29" s="117"/>
      <c r="B29" s="119"/>
      <c r="C29" s="4" t="s">
        <v>23</v>
      </c>
      <c r="D29" s="41">
        <v>11389</v>
      </c>
      <c r="E29" s="33">
        <v>278.81</v>
      </c>
      <c r="F29" s="33">
        <v>520.04999999999995</v>
      </c>
      <c r="G29" s="33">
        <v>431.02</v>
      </c>
      <c r="H29" s="33">
        <v>655.09</v>
      </c>
      <c r="I29" s="33">
        <v>516.9</v>
      </c>
      <c r="J29" s="33">
        <v>835.93</v>
      </c>
      <c r="K29" s="33">
        <v>-56.99</v>
      </c>
      <c r="L29" s="33">
        <v>-98.23</v>
      </c>
      <c r="M29" s="33">
        <v>434.77</v>
      </c>
      <c r="N29" s="33">
        <v>662.41</v>
      </c>
      <c r="O29" s="33">
        <v>153.16999999999999</v>
      </c>
      <c r="P29" s="33">
        <v>210.52</v>
      </c>
      <c r="Q29" s="33">
        <v>520.22</v>
      </c>
      <c r="R29" s="33">
        <v>839.32</v>
      </c>
      <c r="S29" s="33">
        <v>70.47</v>
      </c>
      <c r="T29" s="33">
        <v>76.38</v>
      </c>
      <c r="U29" s="33">
        <v>6.5</v>
      </c>
      <c r="V29" s="33">
        <v>9.23</v>
      </c>
      <c r="W29" s="33">
        <v>-82.47</v>
      </c>
      <c r="X29" s="33">
        <v>1.56</v>
      </c>
      <c r="Y29" s="33">
        <v>57.33</v>
      </c>
      <c r="Z29" s="33">
        <v>32.1</v>
      </c>
      <c r="AA29" s="33">
        <v>29.6</v>
      </c>
      <c r="AB29" s="51" t="s">
        <v>12</v>
      </c>
      <c r="AC29" s="51" t="s">
        <v>12</v>
      </c>
      <c r="AD29" s="51" t="s">
        <v>12</v>
      </c>
      <c r="AE29" s="33"/>
      <c r="AF29" s="33"/>
      <c r="AG29" s="33"/>
      <c r="AH29" s="33"/>
      <c r="AI29" s="33"/>
      <c r="AJ29" s="33"/>
      <c r="AK29" s="33"/>
      <c r="AL29" s="33"/>
      <c r="AM29" s="33"/>
    </row>
    <row r="30" spans="1:39">
      <c r="A30" s="117"/>
      <c r="B30" s="119"/>
      <c r="C30" s="10" t="s">
        <v>24</v>
      </c>
      <c r="D30" s="41">
        <v>11389</v>
      </c>
      <c r="E30" s="34">
        <v>270.45999999999998</v>
      </c>
      <c r="F30" s="34">
        <v>504.13</v>
      </c>
      <c r="G30" s="34">
        <v>440.95</v>
      </c>
      <c r="H30" s="34">
        <v>659.87</v>
      </c>
      <c r="I30" s="34">
        <v>521.03</v>
      </c>
      <c r="J30" s="34">
        <v>822.88</v>
      </c>
      <c r="K30" s="34">
        <v>-58.9</v>
      </c>
      <c r="L30" s="34">
        <v>-103.59</v>
      </c>
      <c r="M30" s="34">
        <v>444.87</v>
      </c>
      <c r="N30" s="34">
        <v>667.95</v>
      </c>
      <c r="O30" s="34">
        <v>161.35</v>
      </c>
      <c r="P30" s="34">
        <v>214.33</v>
      </c>
      <c r="Q30" s="34">
        <v>524.41999999999996</v>
      </c>
      <c r="R30" s="34">
        <v>827.26</v>
      </c>
      <c r="S30" s="34">
        <v>69.56</v>
      </c>
      <c r="T30" s="34">
        <v>75.930000000000007</v>
      </c>
      <c r="U30" s="34">
        <v>6.49</v>
      </c>
      <c r="V30" s="34">
        <v>8.7799999999999994</v>
      </c>
      <c r="W30" s="34">
        <v>-82.39</v>
      </c>
      <c r="X30" s="34">
        <v>1.64</v>
      </c>
      <c r="Y30" s="34">
        <v>58.7</v>
      </c>
      <c r="Z30" s="34">
        <v>32.25</v>
      </c>
      <c r="AA30" s="34">
        <v>28.33</v>
      </c>
      <c r="AB30" s="51" t="s">
        <v>12</v>
      </c>
      <c r="AC30" s="51" t="s">
        <v>12</v>
      </c>
      <c r="AD30" s="51" t="s">
        <v>12</v>
      </c>
      <c r="AE30" s="34"/>
      <c r="AF30" s="34"/>
      <c r="AG30" s="34"/>
      <c r="AH30" s="34"/>
      <c r="AI30" s="34"/>
      <c r="AJ30" s="34"/>
      <c r="AK30" s="34"/>
      <c r="AL30" s="34"/>
      <c r="AM30" s="34"/>
    </row>
    <row r="31" spans="1:39">
      <c r="A31" s="117"/>
      <c r="B31" s="119"/>
      <c r="C31" s="11" t="s">
        <v>25</v>
      </c>
      <c r="D31" s="41">
        <v>11389</v>
      </c>
      <c r="E31" s="35">
        <v>257.91000000000003</v>
      </c>
      <c r="F31" s="35">
        <v>478.6</v>
      </c>
      <c r="G31" s="35">
        <v>401.17</v>
      </c>
      <c r="H31" s="35">
        <v>600.55999999999995</v>
      </c>
      <c r="I31" s="35">
        <v>480.32</v>
      </c>
      <c r="J31" s="35">
        <v>765.25</v>
      </c>
      <c r="K31" s="35">
        <v>-51.65</v>
      </c>
      <c r="L31" s="35">
        <v>-88.91</v>
      </c>
      <c r="M31" s="35">
        <v>404.48</v>
      </c>
      <c r="N31" s="35">
        <v>607.11</v>
      </c>
      <c r="O31" s="35">
        <v>144.03</v>
      </c>
      <c r="P31" s="35">
        <v>184.64</v>
      </c>
      <c r="Q31" s="35">
        <v>483.13</v>
      </c>
      <c r="R31" s="35">
        <v>769.18</v>
      </c>
      <c r="S31" s="35">
        <v>70.040000000000006</v>
      </c>
      <c r="T31" s="35">
        <v>76.430000000000007</v>
      </c>
      <c r="U31" s="35">
        <v>6.12</v>
      </c>
      <c r="V31" s="35">
        <v>8.0299999999999994</v>
      </c>
      <c r="W31" s="35">
        <v>-82.66</v>
      </c>
      <c r="X31" s="35">
        <v>1.57</v>
      </c>
      <c r="Y31" s="35">
        <v>57.48</v>
      </c>
      <c r="Z31" s="35">
        <v>54.74</v>
      </c>
      <c r="AA31" s="35">
        <v>19.079999999999998</v>
      </c>
      <c r="AB31" s="51" t="s">
        <v>12</v>
      </c>
      <c r="AC31" s="51" t="s">
        <v>12</v>
      </c>
      <c r="AD31" s="51" t="s">
        <v>12</v>
      </c>
      <c r="AE31" s="35"/>
      <c r="AF31" s="35"/>
      <c r="AG31" s="35"/>
      <c r="AH31" s="35"/>
      <c r="AI31" s="35"/>
      <c r="AJ31" s="35"/>
      <c r="AK31" s="35"/>
      <c r="AL31" s="35"/>
      <c r="AM31" s="35"/>
    </row>
    <row r="32" spans="1:39">
      <c r="A32" s="117"/>
      <c r="B32" s="119"/>
      <c r="C32" s="8" t="s">
        <v>26</v>
      </c>
      <c r="D32" s="41">
        <v>11389</v>
      </c>
      <c r="E32" s="36">
        <v>279.43</v>
      </c>
      <c r="F32" s="36">
        <v>521.98</v>
      </c>
      <c r="G32" s="36">
        <v>449.49</v>
      </c>
      <c r="H32" s="36">
        <v>678.56</v>
      </c>
      <c r="I32" s="36">
        <v>533.21</v>
      </c>
      <c r="J32" s="36">
        <v>851.67</v>
      </c>
      <c r="K32" s="36">
        <v>-61.73</v>
      </c>
      <c r="L32" s="36">
        <v>-104.53</v>
      </c>
      <c r="M32" s="36">
        <v>453.71</v>
      </c>
      <c r="N32" s="36">
        <v>686.56</v>
      </c>
      <c r="O32" s="36">
        <v>162.08000000000001</v>
      </c>
      <c r="P32" s="36">
        <v>212.43</v>
      </c>
      <c r="Q32" s="36">
        <v>536.87</v>
      </c>
      <c r="R32" s="36">
        <v>856.14</v>
      </c>
      <c r="S32" s="36">
        <v>69.8</v>
      </c>
      <c r="T32" s="36">
        <v>76.040000000000006</v>
      </c>
      <c r="U32" s="36">
        <v>6.61</v>
      </c>
      <c r="V32" s="36">
        <v>9.44</v>
      </c>
      <c r="W32" s="36">
        <v>-82.18</v>
      </c>
      <c r="X32" s="36">
        <v>1.62</v>
      </c>
      <c r="Y32" s="36">
        <v>58.37</v>
      </c>
      <c r="Z32" s="36">
        <v>45.32</v>
      </c>
      <c r="AA32" s="36">
        <v>29.56</v>
      </c>
      <c r="AB32" s="51" t="s">
        <v>12</v>
      </c>
      <c r="AC32" s="51" t="s">
        <v>12</v>
      </c>
      <c r="AD32" s="51" t="s">
        <v>12</v>
      </c>
      <c r="AE32" s="36"/>
      <c r="AF32" s="36"/>
      <c r="AG32" s="36"/>
      <c r="AH32" s="36"/>
      <c r="AI32" s="36"/>
      <c r="AJ32" s="36"/>
      <c r="AK32" s="36"/>
      <c r="AL32" s="36"/>
      <c r="AM32" s="36"/>
    </row>
    <row r="33" spans="1:39">
      <c r="A33" s="117"/>
      <c r="B33" s="119"/>
      <c r="C33" s="19" t="s">
        <v>27</v>
      </c>
      <c r="D33" s="41">
        <v>11389</v>
      </c>
      <c r="E33" s="38">
        <v>278.68</v>
      </c>
      <c r="F33" s="38">
        <v>514.12</v>
      </c>
      <c r="G33" s="38">
        <v>427.19</v>
      </c>
      <c r="H33" s="38">
        <v>648.19000000000005</v>
      </c>
      <c r="I33" s="38">
        <v>513.03</v>
      </c>
      <c r="J33" s="38">
        <v>822.11</v>
      </c>
      <c r="K33" s="38">
        <v>-62.87</v>
      </c>
      <c r="L33" s="38">
        <v>-109.68</v>
      </c>
      <c r="M33" s="38">
        <v>431.79</v>
      </c>
      <c r="N33" s="38">
        <v>657.4</v>
      </c>
      <c r="O33" s="38">
        <v>146.76</v>
      </c>
      <c r="P33" s="38">
        <v>195.23</v>
      </c>
      <c r="Q33" s="38">
        <v>516.92999999999995</v>
      </c>
      <c r="R33" s="38">
        <v>827.92</v>
      </c>
      <c r="S33" s="38">
        <v>71.05</v>
      </c>
      <c r="T33" s="38">
        <v>76.989999999999995</v>
      </c>
      <c r="U33" s="38">
        <v>6.98</v>
      </c>
      <c r="V33" s="38">
        <v>9.17</v>
      </c>
      <c r="W33" s="38">
        <v>-81.63</v>
      </c>
      <c r="X33" s="38">
        <v>1.55</v>
      </c>
      <c r="Y33" s="38">
        <v>57.16</v>
      </c>
      <c r="Z33" s="38">
        <v>26.15</v>
      </c>
      <c r="AA33" s="38">
        <v>20.059999999999999</v>
      </c>
      <c r="AB33" s="51" t="s">
        <v>12</v>
      </c>
      <c r="AC33" s="51" t="s">
        <v>12</v>
      </c>
      <c r="AD33" s="51" t="s">
        <v>12</v>
      </c>
      <c r="AE33" s="38"/>
      <c r="AF33" s="38"/>
      <c r="AG33" s="38"/>
      <c r="AH33" s="38"/>
      <c r="AI33" s="38"/>
      <c r="AJ33" s="38"/>
      <c r="AK33" s="38"/>
      <c r="AL33" s="38"/>
      <c r="AM33" s="38"/>
    </row>
    <row r="34" spans="1:39">
      <c r="A34" s="117"/>
      <c r="B34" s="120"/>
      <c r="C34" s="21" t="s">
        <v>28</v>
      </c>
      <c r="D34" s="41">
        <v>11389</v>
      </c>
      <c r="E34" s="37">
        <v>286.24</v>
      </c>
      <c r="F34" s="37">
        <v>529.61</v>
      </c>
      <c r="G34" s="37">
        <v>434.71</v>
      </c>
      <c r="H34" s="37">
        <v>665.72</v>
      </c>
      <c r="I34" s="37">
        <v>523.61</v>
      </c>
      <c r="J34" s="37">
        <v>846.95</v>
      </c>
      <c r="K34" s="37">
        <v>-63.78</v>
      </c>
      <c r="L34" s="37">
        <v>-112.81</v>
      </c>
      <c r="M34" s="37">
        <v>439.36</v>
      </c>
      <c r="N34" s="37">
        <v>675.21</v>
      </c>
      <c r="O34" s="37">
        <v>148.57</v>
      </c>
      <c r="P34" s="37">
        <v>199.81</v>
      </c>
      <c r="Q34" s="37">
        <v>527.54999999999995</v>
      </c>
      <c r="R34" s="37">
        <v>852.72</v>
      </c>
      <c r="S34" s="37">
        <v>71.14</v>
      </c>
      <c r="T34" s="37">
        <v>77.180000000000007</v>
      </c>
      <c r="U34" s="37">
        <v>6.93</v>
      </c>
      <c r="V34" s="37">
        <v>9.2799999999999994</v>
      </c>
      <c r="W34" s="37">
        <v>-81.650000000000006</v>
      </c>
      <c r="X34" s="37">
        <v>1.53</v>
      </c>
      <c r="Y34" s="37">
        <v>56.92</v>
      </c>
      <c r="Z34" s="37">
        <v>24.16</v>
      </c>
      <c r="AA34" s="37">
        <v>18.47</v>
      </c>
      <c r="AB34" s="51" t="s">
        <v>12</v>
      </c>
      <c r="AC34" s="51" t="s">
        <v>12</v>
      </c>
      <c r="AD34" s="51" t="s">
        <v>12</v>
      </c>
      <c r="AE34" s="37"/>
      <c r="AF34" s="37"/>
      <c r="AG34" s="37"/>
      <c r="AH34" s="37"/>
      <c r="AI34" s="37"/>
      <c r="AJ34" s="37"/>
      <c r="AK34" s="37"/>
      <c r="AL34" s="37"/>
      <c r="AM34" s="37"/>
    </row>
    <row r="35" spans="1:39">
      <c r="A35" s="117"/>
      <c r="B35" s="118">
        <v>3</v>
      </c>
      <c r="C35" s="2" t="s">
        <v>16</v>
      </c>
      <c r="D35" s="41">
        <f>D21+11111+139</f>
        <v>22639</v>
      </c>
      <c r="E35" s="25">
        <v>262.31</v>
      </c>
      <c r="F35" s="25">
        <v>484.75</v>
      </c>
      <c r="G35" s="25">
        <v>397.74</v>
      </c>
      <c r="H35" s="25">
        <v>604.84</v>
      </c>
      <c r="I35" s="25">
        <v>479.64</v>
      </c>
      <c r="J35" s="25">
        <v>772.32</v>
      </c>
      <c r="K35" s="25">
        <v>-41.06</v>
      </c>
      <c r="L35" s="25">
        <v>-83.22</v>
      </c>
      <c r="M35" s="25">
        <v>399.85</v>
      </c>
      <c r="N35" s="25">
        <v>610.54</v>
      </c>
      <c r="O35" s="25">
        <v>147.29</v>
      </c>
      <c r="P35" s="25">
        <v>190.49</v>
      </c>
      <c r="Q35" s="25">
        <v>481.43</v>
      </c>
      <c r="R35" s="25">
        <v>775.99</v>
      </c>
      <c r="S35" s="25">
        <v>69.39</v>
      </c>
      <c r="T35" s="25">
        <v>77.41</v>
      </c>
      <c r="U35" s="25">
        <v>4.5999999999999996</v>
      </c>
      <c r="V35" s="25">
        <v>6.79</v>
      </c>
      <c r="W35" s="25">
        <v>-84.11</v>
      </c>
      <c r="X35" s="25">
        <v>1.52</v>
      </c>
      <c r="Y35" s="25">
        <v>56.73</v>
      </c>
      <c r="Z35" s="25">
        <v>28.68</v>
      </c>
      <c r="AA35" s="25">
        <v>23.89</v>
      </c>
      <c r="AB35" s="51" t="s">
        <v>12</v>
      </c>
      <c r="AC35" s="51" t="s">
        <v>12</v>
      </c>
      <c r="AD35" s="51" t="s">
        <v>12</v>
      </c>
      <c r="AE35" s="25"/>
      <c r="AF35" s="25"/>
      <c r="AG35" s="25"/>
      <c r="AH35" s="25"/>
      <c r="AI35" s="25"/>
      <c r="AJ35" s="25"/>
      <c r="AK35" s="25"/>
      <c r="AL35" s="25"/>
      <c r="AM35" s="25"/>
    </row>
    <row r="36" spans="1:39">
      <c r="A36" s="117"/>
      <c r="B36" s="119"/>
      <c r="C36" s="1" t="s">
        <v>15</v>
      </c>
      <c r="D36" s="41">
        <f t="shared" ref="D36:D48" si="0">D22+11111+139</f>
        <v>22639</v>
      </c>
      <c r="E36" s="26">
        <v>265.39</v>
      </c>
      <c r="F36" s="26">
        <v>492.82</v>
      </c>
      <c r="G36" s="26">
        <v>435.73</v>
      </c>
      <c r="H36" s="26">
        <v>659.35</v>
      </c>
      <c r="I36" s="26">
        <v>513.44000000000005</v>
      </c>
      <c r="J36" s="26">
        <v>820.82</v>
      </c>
      <c r="K36" s="26">
        <v>-59.13</v>
      </c>
      <c r="L36" s="26">
        <v>-102.31</v>
      </c>
      <c r="M36" s="26">
        <v>439.72</v>
      </c>
      <c r="N36" s="26">
        <v>667.24</v>
      </c>
      <c r="O36" s="26">
        <v>159.47</v>
      </c>
      <c r="P36" s="26">
        <v>215.28</v>
      </c>
      <c r="Q36" s="26">
        <v>516.97</v>
      </c>
      <c r="R36" s="26">
        <v>824.81</v>
      </c>
      <c r="S36" s="26">
        <v>69.59</v>
      </c>
      <c r="T36" s="26">
        <v>75.63</v>
      </c>
      <c r="U36" s="26">
        <v>6.49</v>
      </c>
      <c r="V36" s="26">
        <v>8.36</v>
      </c>
      <c r="W36" s="26">
        <v>-82.27</v>
      </c>
      <c r="X36" s="26">
        <v>1.66</v>
      </c>
      <c r="Y36" s="26">
        <v>58.89</v>
      </c>
      <c r="Z36" s="26">
        <v>45.47</v>
      </c>
      <c r="AA36" s="26">
        <v>28.76</v>
      </c>
      <c r="AB36" s="43">
        <v>2.46</v>
      </c>
      <c r="AC36" s="43">
        <v>0.28000000000000003</v>
      </c>
      <c r="AD36" s="43">
        <v>-2.2970000000000002</v>
      </c>
      <c r="AE36" s="26"/>
      <c r="AF36" s="26"/>
      <c r="AG36" s="26"/>
      <c r="AH36" s="26"/>
      <c r="AI36" s="26"/>
      <c r="AJ36" s="26"/>
      <c r="AK36" s="26"/>
      <c r="AL36" s="26"/>
      <c r="AM36" s="26"/>
    </row>
    <row r="37" spans="1:39">
      <c r="A37" s="117"/>
      <c r="B37" s="119"/>
      <c r="C37" s="5" t="s">
        <v>14</v>
      </c>
      <c r="D37" s="41">
        <f t="shared" si="0"/>
        <v>22639</v>
      </c>
      <c r="E37" s="27">
        <v>267.29000000000002</v>
      </c>
      <c r="F37" s="27">
        <v>491.96</v>
      </c>
      <c r="G37" s="27">
        <v>384.48</v>
      </c>
      <c r="H37" s="27">
        <v>583.76</v>
      </c>
      <c r="I37" s="27">
        <v>471.17</v>
      </c>
      <c r="J37" s="27">
        <v>758.99</v>
      </c>
      <c r="K37" s="27">
        <v>-54.06</v>
      </c>
      <c r="L37" s="27">
        <v>-91.97</v>
      </c>
      <c r="M37" s="27">
        <v>388.26</v>
      </c>
      <c r="N37" s="27">
        <v>590.96</v>
      </c>
      <c r="O37" s="27">
        <v>128.13</v>
      </c>
      <c r="P37" s="27">
        <v>166.96</v>
      </c>
      <c r="Q37" s="27">
        <v>474.3</v>
      </c>
      <c r="R37" s="27">
        <v>763.68</v>
      </c>
      <c r="S37" s="27">
        <v>71.78</v>
      </c>
      <c r="T37" s="27">
        <v>77.739999999999995</v>
      </c>
      <c r="U37" s="27">
        <v>6.54</v>
      </c>
      <c r="V37" s="27">
        <v>8.61</v>
      </c>
      <c r="W37" s="27">
        <v>-82</v>
      </c>
      <c r="X37" s="27">
        <v>1.45</v>
      </c>
      <c r="Y37" s="27">
        <v>55.46</v>
      </c>
      <c r="Z37" s="27">
        <v>35.74</v>
      </c>
      <c r="AA37" s="27">
        <v>19.84</v>
      </c>
      <c r="AB37" s="44">
        <v>2.4279999999999999</v>
      </c>
      <c r="AC37" s="44">
        <v>0.29599999999999999</v>
      </c>
      <c r="AD37" s="44">
        <v>-1.8866000000000001</v>
      </c>
      <c r="AE37" s="27"/>
      <c r="AF37" s="27"/>
      <c r="AG37" s="27"/>
      <c r="AH37" s="27"/>
      <c r="AI37" s="27"/>
      <c r="AJ37" s="27"/>
      <c r="AK37" s="27"/>
      <c r="AL37" s="27"/>
      <c r="AM37" s="27"/>
    </row>
    <row r="38" spans="1:39">
      <c r="A38" s="117"/>
      <c r="B38" s="119"/>
      <c r="C38" s="12" t="s">
        <v>11</v>
      </c>
      <c r="D38" s="41">
        <f t="shared" si="0"/>
        <v>22639</v>
      </c>
      <c r="E38" s="28">
        <v>262.97000000000003</v>
      </c>
      <c r="F38" s="28">
        <v>500.46</v>
      </c>
      <c r="G38" s="28">
        <v>392.5</v>
      </c>
      <c r="H38" s="28">
        <v>617.1</v>
      </c>
      <c r="I38" s="28">
        <v>475.2</v>
      </c>
      <c r="J38" s="28">
        <v>794.45</v>
      </c>
      <c r="K38" s="28">
        <v>-63.17</v>
      </c>
      <c r="L38" s="28">
        <v>-140</v>
      </c>
      <c r="M38" s="28">
        <v>397.55</v>
      </c>
      <c r="N38" s="28">
        <v>632.78</v>
      </c>
      <c r="O38" s="28">
        <v>128.88999999999999</v>
      </c>
      <c r="P38" s="28">
        <v>204.32</v>
      </c>
      <c r="Q38" s="28">
        <v>479.63</v>
      </c>
      <c r="R38" s="28">
        <v>800.69</v>
      </c>
      <c r="S38" s="28">
        <v>71.97</v>
      </c>
      <c r="T38" s="28">
        <v>80.209999999999994</v>
      </c>
      <c r="U38" s="28">
        <v>7.38</v>
      </c>
      <c r="V38" s="28">
        <v>11.74</v>
      </c>
      <c r="W38" s="28">
        <v>-80.86</v>
      </c>
      <c r="X38" s="28">
        <v>1.51</v>
      </c>
      <c r="Y38" s="28">
        <v>56.52</v>
      </c>
      <c r="Z38" s="28">
        <v>30.98</v>
      </c>
      <c r="AA38" s="28">
        <v>25.4</v>
      </c>
      <c r="AB38" s="45">
        <v>4.5339999999999998</v>
      </c>
      <c r="AC38" s="45">
        <v>392</v>
      </c>
      <c r="AD38" s="45">
        <v>-1.7316</v>
      </c>
      <c r="AE38" s="28"/>
      <c r="AF38" s="28"/>
      <c r="AG38" s="28"/>
      <c r="AH38" s="28"/>
      <c r="AI38" s="28"/>
      <c r="AJ38" s="28"/>
      <c r="AK38" s="28"/>
      <c r="AL38" s="28"/>
      <c r="AM38" s="28"/>
    </row>
    <row r="39" spans="1:39">
      <c r="A39" s="117"/>
      <c r="B39" s="119"/>
      <c r="C39" s="3" t="s">
        <v>8</v>
      </c>
      <c r="D39" s="41">
        <f t="shared" si="0"/>
        <v>22639</v>
      </c>
      <c r="E39" s="29">
        <v>259.08</v>
      </c>
      <c r="F39" s="29">
        <v>496.95</v>
      </c>
      <c r="G39" s="29">
        <v>420.49</v>
      </c>
      <c r="H39" s="29">
        <v>641.70000000000005</v>
      </c>
      <c r="I39" s="29">
        <v>497.74</v>
      </c>
      <c r="J39" s="29">
        <v>808.67</v>
      </c>
      <c r="K39" s="29">
        <v>-61.42</v>
      </c>
      <c r="L39" s="29">
        <v>-106.68</v>
      </c>
      <c r="M39" s="29">
        <v>424.95</v>
      </c>
      <c r="N39" s="29">
        <v>650.51</v>
      </c>
      <c r="O39" s="29">
        <v>149.97999999999999</v>
      </c>
      <c r="P39" s="29">
        <v>195.17</v>
      </c>
      <c r="Q39" s="29">
        <v>501.59</v>
      </c>
      <c r="R39" s="29">
        <v>814</v>
      </c>
      <c r="S39" s="29">
        <v>69.38</v>
      </c>
      <c r="T39" s="29">
        <v>76.77</v>
      </c>
      <c r="U39" s="29">
        <v>6.53</v>
      </c>
      <c r="V39" s="29">
        <v>8.66</v>
      </c>
      <c r="W39" s="29">
        <v>-81.69</v>
      </c>
      <c r="X39" s="29">
        <v>1.64</v>
      </c>
      <c r="Y39" s="29">
        <v>58.63</v>
      </c>
      <c r="Z39" s="29">
        <v>76.64</v>
      </c>
      <c r="AA39" s="29">
        <v>38.200000000000003</v>
      </c>
      <c r="AB39" s="51" t="s">
        <v>12</v>
      </c>
      <c r="AC39" s="51" t="s">
        <v>12</v>
      </c>
      <c r="AD39" s="51" t="s">
        <v>12</v>
      </c>
      <c r="AE39" s="29"/>
      <c r="AF39" s="29"/>
      <c r="AG39" s="29"/>
      <c r="AH39" s="29"/>
      <c r="AI39" s="29"/>
      <c r="AJ39" s="29"/>
      <c r="AK39" s="29"/>
      <c r="AL39" s="29"/>
      <c r="AM39" s="29"/>
    </row>
    <row r="40" spans="1:39">
      <c r="A40" s="117"/>
      <c r="B40" s="119"/>
      <c r="C40" s="9" t="s">
        <v>7</v>
      </c>
      <c r="D40" s="41">
        <f t="shared" si="0"/>
        <v>22639</v>
      </c>
      <c r="E40" s="30">
        <v>270.43</v>
      </c>
      <c r="F40" s="30">
        <v>505.73</v>
      </c>
      <c r="G40" s="30">
        <v>445.91</v>
      </c>
      <c r="H40" s="30">
        <v>668.42</v>
      </c>
      <c r="I40" s="30">
        <v>525.29</v>
      </c>
      <c r="J40" s="30">
        <v>830.32</v>
      </c>
      <c r="K40" s="30">
        <v>-65.55</v>
      </c>
      <c r="L40" s="30">
        <v>-113.16</v>
      </c>
      <c r="M40" s="30">
        <v>450.7</v>
      </c>
      <c r="N40" s="30">
        <v>677.93</v>
      </c>
      <c r="O40" s="30">
        <v>160.25</v>
      </c>
      <c r="P40" s="30">
        <v>207.92</v>
      </c>
      <c r="Q40" s="30">
        <v>529.41999999999996</v>
      </c>
      <c r="R40" s="30">
        <v>837.59</v>
      </c>
      <c r="S40" s="30">
        <v>69.790000000000006</v>
      </c>
      <c r="T40" s="30">
        <v>76.2</v>
      </c>
      <c r="U40" s="30">
        <v>7.06</v>
      </c>
      <c r="V40" s="30">
        <v>10.46</v>
      </c>
      <c r="W40" s="30">
        <v>-81.64</v>
      </c>
      <c r="X40" s="30">
        <v>1.67</v>
      </c>
      <c r="Y40" s="30">
        <v>59.04</v>
      </c>
      <c r="Z40" s="30">
        <v>54.29</v>
      </c>
      <c r="AA40" s="30">
        <v>38.549999999999997</v>
      </c>
      <c r="AB40" s="51" t="s">
        <v>12</v>
      </c>
      <c r="AC40" s="51" t="s">
        <v>12</v>
      </c>
      <c r="AD40" s="51" t="s">
        <v>12</v>
      </c>
      <c r="AE40" s="30"/>
      <c r="AF40" s="30"/>
      <c r="AG40" s="30"/>
      <c r="AH40" s="30"/>
      <c r="AI40" s="30"/>
      <c r="AJ40" s="30"/>
      <c r="AK40" s="30"/>
      <c r="AL40" s="30"/>
      <c r="AM40" s="30"/>
    </row>
    <row r="41" spans="1:39">
      <c r="A41" s="117"/>
      <c r="B41" s="119"/>
      <c r="C41" s="7" t="s">
        <v>18</v>
      </c>
      <c r="D41" s="41">
        <f t="shared" si="0"/>
        <v>22639</v>
      </c>
      <c r="E41" s="31">
        <v>281.39</v>
      </c>
      <c r="F41" s="31">
        <v>525.58000000000004</v>
      </c>
      <c r="G41" s="31">
        <v>444.06</v>
      </c>
      <c r="H41" s="31">
        <v>670.97</v>
      </c>
      <c r="I41" s="31">
        <v>529.41</v>
      </c>
      <c r="J41" s="31">
        <v>848.21</v>
      </c>
      <c r="K41" s="31">
        <v>-58.18</v>
      </c>
      <c r="L41" s="31">
        <v>-103.79</v>
      </c>
      <c r="M41" s="31">
        <v>447.86</v>
      </c>
      <c r="N41" s="31">
        <v>678.95</v>
      </c>
      <c r="O41" s="31">
        <v>160.16</v>
      </c>
      <c r="P41" s="31">
        <v>207.52</v>
      </c>
      <c r="Q41" s="31">
        <v>532.63</v>
      </c>
      <c r="R41" s="31">
        <v>853.64</v>
      </c>
      <c r="S41" s="31">
        <v>69.48</v>
      </c>
      <c r="T41" s="31">
        <v>77.150000000000006</v>
      </c>
      <c r="U41" s="31">
        <v>5.96</v>
      </c>
      <c r="V41" s="31">
        <v>7.33</v>
      </c>
      <c r="W41" s="31">
        <v>-82.54</v>
      </c>
      <c r="X41" s="31">
        <v>1.59</v>
      </c>
      <c r="Y41" s="31">
        <v>57.86</v>
      </c>
      <c r="Z41" s="31">
        <v>41.89</v>
      </c>
      <c r="AA41" s="31">
        <v>28.98</v>
      </c>
      <c r="AB41" s="47">
        <v>3.4340000000000002</v>
      </c>
      <c r="AC41" s="47">
        <v>0.38600000000000001</v>
      </c>
      <c r="AD41" s="47">
        <v>-2.2126000000000001</v>
      </c>
      <c r="AE41" s="31"/>
      <c r="AF41" s="31"/>
      <c r="AG41" s="31"/>
      <c r="AH41" s="31"/>
      <c r="AI41" s="31"/>
      <c r="AJ41" s="31"/>
      <c r="AK41" s="31"/>
      <c r="AL41" s="31"/>
      <c r="AM41" s="31"/>
    </row>
    <row r="42" spans="1:39">
      <c r="A42" s="117"/>
      <c r="B42" s="119"/>
      <c r="C42" s="6" t="s">
        <v>19</v>
      </c>
      <c r="D42" s="41">
        <f t="shared" si="0"/>
        <v>22639</v>
      </c>
      <c r="E42" s="32">
        <v>263.62</v>
      </c>
      <c r="F42" s="32">
        <v>498.81</v>
      </c>
      <c r="G42" s="32">
        <v>418.9</v>
      </c>
      <c r="H42" s="32">
        <v>642.25</v>
      </c>
      <c r="I42" s="32">
        <v>498.66</v>
      </c>
      <c r="J42" s="32">
        <v>810.78</v>
      </c>
      <c r="K42" s="32">
        <v>-50.2</v>
      </c>
      <c r="L42" s="32">
        <v>-95.13</v>
      </c>
      <c r="M42" s="32">
        <v>421.9</v>
      </c>
      <c r="N42" s="32">
        <v>649.26</v>
      </c>
      <c r="O42" s="32">
        <v>154.82</v>
      </c>
      <c r="P42" s="32">
        <v>206.79</v>
      </c>
      <c r="Q42" s="32">
        <v>501.26</v>
      </c>
      <c r="R42" s="32">
        <v>815.18</v>
      </c>
      <c r="S42" s="32">
        <v>68.92</v>
      </c>
      <c r="T42" s="32">
        <v>75.92</v>
      </c>
      <c r="U42" s="32">
        <v>5.42</v>
      </c>
      <c r="V42" s="32">
        <v>7.41</v>
      </c>
      <c r="W42" s="32">
        <v>-83.17</v>
      </c>
      <c r="X42" s="32">
        <v>1.6</v>
      </c>
      <c r="Y42" s="32">
        <v>58</v>
      </c>
      <c r="Z42" s="32">
        <v>41.63</v>
      </c>
      <c r="AA42" s="32">
        <v>34.630000000000003</v>
      </c>
      <c r="AB42" s="51" t="s">
        <v>12</v>
      </c>
      <c r="AC42" s="51" t="s">
        <v>12</v>
      </c>
      <c r="AD42" s="51" t="s">
        <v>12</v>
      </c>
      <c r="AE42" s="32"/>
      <c r="AF42" s="32"/>
      <c r="AG42" s="32"/>
      <c r="AH42" s="32"/>
      <c r="AI42" s="32"/>
      <c r="AJ42" s="32"/>
      <c r="AK42" s="32"/>
      <c r="AL42" s="32"/>
      <c r="AM42" s="32"/>
    </row>
    <row r="43" spans="1:39">
      <c r="A43" s="117"/>
      <c r="B43" s="119"/>
      <c r="C43" s="4" t="s">
        <v>23</v>
      </c>
      <c r="D43" s="41">
        <f t="shared" si="0"/>
        <v>22639</v>
      </c>
      <c r="E43" s="33">
        <v>277.66000000000003</v>
      </c>
      <c r="F43" s="33">
        <v>523.29</v>
      </c>
      <c r="G43" s="33">
        <v>435.45</v>
      </c>
      <c r="H43" s="33">
        <v>665.61</v>
      </c>
      <c r="I43" s="33">
        <v>520.23</v>
      </c>
      <c r="J43" s="33">
        <v>841.82</v>
      </c>
      <c r="K43" s="33">
        <v>-59.8</v>
      </c>
      <c r="L43" s="33">
        <v>-107.22</v>
      </c>
      <c r="M43" s="33">
        <v>439.54</v>
      </c>
      <c r="N43" s="33">
        <v>674.19</v>
      </c>
      <c r="O43" s="33">
        <v>154.63999999999999</v>
      </c>
      <c r="P43" s="33">
        <v>211.27</v>
      </c>
      <c r="Q43" s="33">
        <v>523.86</v>
      </c>
      <c r="R43" s="33">
        <v>846.47</v>
      </c>
      <c r="S43" s="33">
        <v>70.39</v>
      </c>
      <c r="T43" s="33">
        <v>76.56</v>
      </c>
      <c r="U43" s="33">
        <v>6.69</v>
      </c>
      <c r="V43" s="33">
        <v>9.7200000000000006</v>
      </c>
      <c r="W43" s="33">
        <v>-82.18</v>
      </c>
      <c r="X43" s="33">
        <v>1.58</v>
      </c>
      <c r="Y43" s="33">
        <v>57.72</v>
      </c>
      <c r="Z43" s="33">
        <v>40.200000000000003</v>
      </c>
      <c r="AA43" s="33">
        <v>37.46</v>
      </c>
      <c r="AB43" s="48">
        <v>2.3980000000000001</v>
      </c>
      <c r="AC43" s="48">
        <v>0.314</v>
      </c>
      <c r="AD43" s="48">
        <v>-1.6916</v>
      </c>
      <c r="AE43" s="33"/>
      <c r="AF43" s="33"/>
      <c r="AG43" s="33"/>
      <c r="AH43" s="33"/>
      <c r="AI43" s="33"/>
      <c r="AJ43" s="33"/>
      <c r="AK43" s="33"/>
      <c r="AL43" s="33"/>
      <c r="AM43" s="33"/>
    </row>
    <row r="44" spans="1:39">
      <c r="A44" s="117"/>
      <c r="B44" s="119"/>
      <c r="C44" s="10" t="s">
        <v>24</v>
      </c>
      <c r="D44" s="41">
        <f t="shared" si="0"/>
        <v>22639</v>
      </c>
      <c r="E44" s="34">
        <v>268.26</v>
      </c>
      <c r="F44" s="34">
        <v>499.33</v>
      </c>
      <c r="G44" s="34">
        <v>452.25</v>
      </c>
      <c r="H44" s="34">
        <v>673.29</v>
      </c>
      <c r="I44" s="34">
        <v>529.94000000000005</v>
      </c>
      <c r="J44" s="34">
        <v>833.94</v>
      </c>
      <c r="K44" s="34">
        <v>-62.41</v>
      </c>
      <c r="L44" s="34">
        <v>-107.95</v>
      </c>
      <c r="M44" s="34">
        <v>456.54</v>
      </c>
      <c r="N44" s="34">
        <v>681.89</v>
      </c>
      <c r="O44" s="34">
        <v>167.28</v>
      </c>
      <c r="P44" s="34">
        <v>219.73</v>
      </c>
      <c r="Q44" s="34">
        <v>533.73</v>
      </c>
      <c r="R44" s="34">
        <v>839.34</v>
      </c>
      <c r="S44" s="34">
        <v>69.239999999999995</v>
      </c>
      <c r="T44" s="34">
        <v>75.58</v>
      </c>
      <c r="U44" s="34">
        <v>6.75</v>
      </c>
      <c r="V44" s="34">
        <v>9.8000000000000007</v>
      </c>
      <c r="W44" s="34">
        <v>-82.14</v>
      </c>
      <c r="X44" s="34">
        <v>1.7</v>
      </c>
      <c r="Y44" s="34">
        <v>59.56</v>
      </c>
      <c r="Z44" s="34">
        <v>44.5</v>
      </c>
      <c r="AA44" s="34">
        <v>35.61</v>
      </c>
      <c r="AB44" s="51" t="s">
        <v>12</v>
      </c>
      <c r="AC44" s="51" t="s">
        <v>12</v>
      </c>
      <c r="AD44" s="51" t="s">
        <v>12</v>
      </c>
      <c r="AE44" s="34"/>
      <c r="AF44" s="34"/>
      <c r="AG44" s="34"/>
      <c r="AH44" s="34"/>
      <c r="AI44" s="34"/>
      <c r="AJ44" s="34"/>
      <c r="AK44" s="34"/>
      <c r="AL44" s="34"/>
      <c r="AM44" s="34"/>
    </row>
    <row r="45" spans="1:39">
      <c r="A45" s="117"/>
      <c r="B45" s="119"/>
      <c r="C45" s="11" t="s">
        <v>25</v>
      </c>
      <c r="D45" s="41">
        <f t="shared" si="0"/>
        <v>22639</v>
      </c>
      <c r="E45" s="35">
        <v>259.32</v>
      </c>
      <c r="F45" s="35">
        <v>483.19</v>
      </c>
      <c r="G45" s="35">
        <v>418.32</v>
      </c>
      <c r="H45" s="35">
        <v>624.08000000000004</v>
      </c>
      <c r="I45" s="35">
        <v>496.17</v>
      </c>
      <c r="J45" s="35">
        <v>784.94</v>
      </c>
      <c r="K45" s="35">
        <v>-53.51</v>
      </c>
      <c r="L45" s="35">
        <v>-95.45</v>
      </c>
      <c r="M45" s="35">
        <v>421.73</v>
      </c>
      <c r="N45" s="35">
        <v>631.34</v>
      </c>
      <c r="O45" s="35">
        <v>153.71</v>
      </c>
      <c r="P45" s="35">
        <v>194.32</v>
      </c>
      <c r="Q45" s="35">
        <v>499.1</v>
      </c>
      <c r="R45" s="35">
        <v>789.36</v>
      </c>
      <c r="S45" s="35">
        <v>69.42</v>
      </c>
      <c r="T45" s="35">
        <v>76.040000000000006</v>
      </c>
      <c r="U45" s="35">
        <v>6.07</v>
      </c>
      <c r="V45" s="35">
        <v>8.3800000000000008</v>
      </c>
      <c r="W45" s="35">
        <v>-82.71</v>
      </c>
      <c r="X45" s="35">
        <v>1.63</v>
      </c>
      <c r="Y45" s="35">
        <v>58.41</v>
      </c>
      <c r="Z45" s="35">
        <v>73.11</v>
      </c>
      <c r="AA45" s="35">
        <v>28.98</v>
      </c>
      <c r="AB45" s="49">
        <v>2.69</v>
      </c>
      <c r="AC45" s="49">
        <v>0.38600000000000001</v>
      </c>
      <c r="AD45" s="49">
        <v>-1.7858000000000001</v>
      </c>
      <c r="AE45" s="35"/>
      <c r="AF45" s="35"/>
      <c r="AG45" s="35"/>
      <c r="AH45" s="35"/>
      <c r="AI45" s="35"/>
      <c r="AJ45" s="35"/>
      <c r="AK45" s="35"/>
      <c r="AL45" s="35"/>
      <c r="AM45" s="35"/>
    </row>
    <row r="46" spans="1:39">
      <c r="A46" s="117"/>
      <c r="B46" s="119"/>
      <c r="C46" s="8" t="s">
        <v>26</v>
      </c>
      <c r="D46" s="41">
        <f t="shared" si="0"/>
        <v>22639</v>
      </c>
      <c r="E46" s="36">
        <v>275.43</v>
      </c>
      <c r="F46" s="36">
        <v>522.48</v>
      </c>
      <c r="G46" s="36">
        <v>460.36</v>
      </c>
      <c r="H46" s="36">
        <v>678.3</v>
      </c>
      <c r="I46" s="36">
        <v>541.39</v>
      </c>
      <c r="J46" s="36">
        <v>848.02</v>
      </c>
      <c r="K46" s="36">
        <v>61.39</v>
      </c>
      <c r="L46" s="36">
        <v>-102.84</v>
      </c>
      <c r="M46" s="36">
        <v>464.44</v>
      </c>
      <c r="N46" s="36">
        <v>686.05</v>
      </c>
      <c r="O46" s="36">
        <v>170.89</v>
      </c>
      <c r="P46" s="36">
        <v>212.84</v>
      </c>
      <c r="Q46" s="36">
        <v>544.91999999999996</v>
      </c>
      <c r="R46" s="36">
        <v>852.74</v>
      </c>
      <c r="S46" s="36">
        <v>68.88</v>
      </c>
      <c r="T46" s="36">
        <v>76.03</v>
      </c>
      <c r="U46" s="36">
        <v>6.37</v>
      </c>
      <c r="V46" s="36">
        <v>9.43</v>
      </c>
      <c r="W46" s="36">
        <v>82.4</v>
      </c>
      <c r="X46" s="36">
        <v>1.69</v>
      </c>
      <c r="Y46" s="36">
        <v>59.33</v>
      </c>
      <c r="Z46" s="36">
        <v>67.150000000000006</v>
      </c>
      <c r="AA46" s="36">
        <v>31.89</v>
      </c>
      <c r="AB46" s="51" t="s">
        <v>12</v>
      </c>
      <c r="AC46" s="51" t="s">
        <v>12</v>
      </c>
      <c r="AD46" s="51" t="s">
        <v>12</v>
      </c>
      <c r="AE46" s="36"/>
      <c r="AF46" s="36"/>
      <c r="AG46" s="36"/>
      <c r="AH46" s="36"/>
      <c r="AI46" s="36"/>
      <c r="AJ46" s="36"/>
      <c r="AK46" s="36"/>
      <c r="AL46" s="36"/>
      <c r="AM46" s="36"/>
    </row>
    <row r="47" spans="1:39">
      <c r="A47" s="117"/>
      <c r="B47" s="119"/>
      <c r="C47" s="19" t="s">
        <v>27</v>
      </c>
      <c r="D47" s="41">
        <f t="shared" si="0"/>
        <v>22639</v>
      </c>
      <c r="E47" s="38">
        <v>278.47000000000003</v>
      </c>
      <c r="F47" s="38">
        <v>515.42999999999995</v>
      </c>
      <c r="G47" s="38">
        <v>429.81</v>
      </c>
      <c r="H47" s="38">
        <v>651.33000000000004</v>
      </c>
      <c r="I47" s="38">
        <v>515.30999999999995</v>
      </c>
      <c r="J47" s="38">
        <v>827.63</v>
      </c>
      <c r="K47" s="38">
        <v>-63.82</v>
      </c>
      <c r="L47" s="38">
        <v>-108.98</v>
      </c>
      <c r="M47" s="38">
        <v>434.52</v>
      </c>
      <c r="N47" s="38">
        <v>660.38</v>
      </c>
      <c r="O47" s="38">
        <v>147.94</v>
      </c>
      <c r="P47" s="38">
        <v>196.77</v>
      </c>
      <c r="Q47" s="38">
        <v>519.30999999999995</v>
      </c>
      <c r="R47" s="38">
        <v>833.03</v>
      </c>
      <c r="S47" s="38">
        <v>70.930000000000007</v>
      </c>
      <c r="T47" s="38">
        <v>77.040000000000006</v>
      </c>
      <c r="U47" s="38">
        <v>7.03</v>
      </c>
      <c r="V47" s="38">
        <v>9.98</v>
      </c>
      <c r="W47" s="38">
        <v>-81.55</v>
      </c>
      <c r="X47" s="38">
        <v>1.56</v>
      </c>
      <c r="Y47" s="38">
        <v>57.35</v>
      </c>
      <c r="Z47" s="38">
        <v>31.52</v>
      </c>
      <c r="AA47" s="38">
        <v>29.55</v>
      </c>
      <c r="AB47" s="51" t="s">
        <v>12</v>
      </c>
      <c r="AC47" s="51" t="s">
        <v>12</v>
      </c>
      <c r="AD47" s="51" t="s">
        <v>12</v>
      </c>
      <c r="AE47" s="38"/>
      <c r="AF47" s="38"/>
      <c r="AG47" s="38"/>
      <c r="AH47" s="38"/>
      <c r="AI47" s="38"/>
      <c r="AJ47" s="38"/>
      <c r="AK47" s="38"/>
      <c r="AL47" s="38"/>
      <c r="AM47" s="38"/>
    </row>
    <row r="48" spans="1:39">
      <c r="A48" s="117"/>
      <c r="B48" s="120"/>
      <c r="C48" s="21" t="s">
        <v>28</v>
      </c>
      <c r="D48" s="41">
        <f t="shared" si="0"/>
        <v>22639</v>
      </c>
      <c r="E48" s="37">
        <v>285.89</v>
      </c>
      <c r="F48" s="37">
        <v>530.74</v>
      </c>
      <c r="G48" s="37">
        <v>439.46</v>
      </c>
      <c r="H48" s="37">
        <v>667.08</v>
      </c>
      <c r="I48" s="37">
        <v>527.63</v>
      </c>
      <c r="J48" s="37">
        <v>847.6</v>
      </c>
      <c r="K48" s="37">
        <v>-64.819999999999993</v>
      </c>
      <c r="L48" s="37">
        <v>-112.71</v>
      </c>
      <c r="M48" s="37">
        <v>444.21</v>
      </c>
      <c r="N48" s="37">
        <v>676.53</v>
      </c>
      <c r="O48" s="37">
        <v>151.15</v>
      </c>
      <c r="P48" s="20">
        <v>200.31</v>
      </c>
      <c r="Q48" s="37">
        <v>531.66</v>
      </c>
      <c r="R48" s="37">
        <v>853.4</v>
      </c>
      <c r="S48" s="37">
        <v>70.89</v>
      </c>
      <c r="T48" s="37">
        <v>77.19</v>
      </c>
      <c r="U48" s="37">
        <v>6.93</v>
      </c>
      <c r="V48" s="37">
        <v>9.34</v>
      </c>
      <c r="W48" s="37">
        <v>-81.61</v>
      </c>
      <c r="X48" s="37">
        <v>1.55</v>
      </c>
      <c r="Y48" s="37">
        <v>57.23</v>
      </c>
      <c r="Z48" s="37">
        <v>32.049999999999997</v>
      </c>
      <c r="AA48" s="37">
        <v>21.73</v>
      </c>
      <c r="AB48" s="51" t="s">
        <v>12</v>
      </c>
      <c r="AC48" s="51" t="s">
        <v>12</v>
      </c>
      <c r="AD48" s="51" t="s">
        <v>12</v>
      </c>
      <c r="AE48" s="37"/>
      <c r="AF48" s="37"/>
      <c r="AG48" s="37"/>
      <c r="AH48" s="37"/>
      <c r="AI48" s="37"/>
      <c r="AJ48" s="37"/>
      <c r="AK48" s="37"/>
      <c r="AL48" s="37"/>
      <c r="AM48" s="37"/>
    </row>
    <row r="49" spans="1:39">
      <c r="A49" s="117"/>
      <c r="B49" s="118">
        <v>4</v>
      </c>
      <c r="C49" s="2" t="s">
        <v>16</v>
      </c>
      <c r="D49" s="41">
        <f>D35+11111+139</f>
        <v>33889</v>
      </c>
      <c r="E49" s="25">
        <v>265.69</v>
      </c>
      <c r="F49" s="25">
        <v>495.92</v>
      </c>
      <c r="G49" s="25">
        <v>429.44</v>
      </c>
      <c r="H49" s="25">
        <v>639.66</v>
      </c>
      <c r="I49" s="25">
        <v>508.83</v>
      </c>
      <c r="J49" s="25">
        <v>806.62</v>
      </c>
      <c r="K49" s="25">
        <v>-55.43</v>
      </c>
      <c r="L49" s="25">
        <v>-95.1</v>
      </c>
      <c r="M49" s="25">
        <v>433</v>
      </c>
      <c r="N49" s="25">
        <v>646.69000000000005</v>
      </c>
      <c r="O49" s="25">
        <v>157.65</v>
      </c>
      <c r="P49" s="25">
        <v>201.39</v>
      </c>
      <c r="Q49" s="25">
        <v>511.9</v>
      </c>
      <c r="R49" s="25">
        <v>810.79</v>
      </c>
      <c r="S49" s="25">
        <v>69.430000000000007</v>
      </c>
      <c r="T49" s="25">
        <v>75.989999999999995</v>
      </c>
      <c r="U49" s="25">
        <v>6.1</v>
      </c>
      <c r="V49" s="25">
        <v>7.8</v>
      </c>
      <c r="W49" s="25">
        <v>-82.65</v>
      </c>
      <c r="X49" s="25">
        <v>1.63</v>
      </c>
      <c r="Y49" s="25">
        <v>58.47</v>
      </c>
      <c r="Z49" s="25">
        <v>32.79</v>
      </c>
      <c r="AA49" s="25">
        <v>25.98</v>
      </c>
      <c r="AB49" s="51" t="s">
        <v>12</v>
      </c>
      <c r="AC49" s="51" t="s">
        <v>12</v>
      </c>
      <c r="AD49" s="51" t="s">
        <v>12</v>
      </c>
      <c r="AE49" s="25"/>
      <c r="AF49" s="25"/>
      <c r="AG49" s="25"/>
      <c r="AH49" s="25"/>
      <c r="AI49" s="25"/>
      <c r="AJ49" s="25"/>
      <c r="AK49" s="25"/>
      <c r="AL49" s="25"/>
      <c r="AM49" s="25"/>
    </row>
    <row r="50" spans="1:39">
      <c r="A50" s="117"/>
      <c r="B50" s="119"/>
      <c r="C50" s="1" t="s">
        <v>15</v>
      </c>
      <c r="D50" s="41">
        <f t="shared" ref="D50:D62" si="1">D36+11111+139</f>
        <v>33889</v>
      </c>
      <c r="E50" s="26">
        <v>266.58999999999997</v>
      </c>
      <c r="F50" s="26">
        <v>494.54</v>
      </c>
      <c r="G50" s="26">
        <v>445.07</v>
      </c>
      <c r="H50" s="26">
        <v>667.48</v>
      </c>
      <c r="I50" s="26">
        <v>522.33000000000004</v>
      </c>
      <c r="J50" s="26">
        <v>826.34</v>
      </c>
      <c r="K50" s="26">
        <v>-61.63</v>
      </c>
      <c r="L50" s="26">
        <v>-106.25</v>
      </c>
      <c r="M50" s="26">
        <v>449.32</v>
      </c>
      <c r="N50" s="26">
        <v>675.88</v>
      </c>
      <c r="O50" s="26">
        <v>163.6</v>
      </c>
      <c r="P50" s="26">
        <v>217.62</v>
      </c>
      <c r="Q50" s="26">
        <v>526.09</v>
      </c>
      <c r="R50" s="26">
        <v>830.87</v>
      </c>
      <c r="S50" s="26">
        <v>50.19</v>
      </c>
      <c r="T50" s="26">
        <v>75.63</v>
      </c>
      <c r="U50" s="26">
        <v>6.75</v>
      </c>
      <c r="V50" s="26">
        <v>9.01</v>
      </c>
      <c r="W50" s="26">
        <v>-82.12</v>
      </c>
      <c r="X50" s="26">
        <v>1.69</v>
      </c>
      <c r="Y50" s="26">
        <v>59.32</v>
      </c>
      <c r="Z50" s="26">
        <v>55.65</v>
      </c>
      <c r="AA50" s="26">
        <v>31.68</v>
      </c>
      <c r="AB50" s="51" t="s">
        <v>12</v>
      </c>
      <c r="AC50" s="51" t="s">
        <v>12</v>
      </c>
      <c r="AD50" s="51" t="s">
        <v>12</v>
      </c>
      <c r="AE50" s="26"/>
      <c r="AF50" s="26"/>
      <c r="AG50" s="26"/>
      <c r="AH50" s="26"/>
      <c r="AI50" s="26"/>
      <c r="AJ50" s="26"/>
      <c r="AK50" s="26"/>
      <c r="AL50" s="26"/>
      <c r="AM50" s="26"/>
    </row>
    <row r="51" spans="1:39">
      <c r="A51" s="117"/>
      <c r="B51" s="119"/>
      <c r="C51" s="5" t="s">
        <v>14</v>
      </c>
      <c r="D51" s="41">
        <f t="shared" si="1"/>
        <v>33889</v>
      </c>
      <c r="E51" s="27">
        <v>266.47000000000003</v>
      </c>
      <c r="F51" s="27">
        <v>493.21</v>
      </c>
      <c r="G51" s="27">
        <v>393.71</v>
      </c>
      <c r="H51" s="27">
        <v>494.57</v>
      </c>
      <c r="I51" s="27">
        <v>478.63</v>
      </c>
      <c r="J51" s="27">
        <v>767.75</v>
      </c>
      <c r="K51" s="27">
        <v>-55.69</v>
      </c>
      <c r="L51" s="27">
        <v>-94.77</v>
      </c>
      <c r="M51" s="27">
        <v>397.63</v>
      </c>
      <c r="N51" s="27">
        <v>503.57</v>
      </c>
      <c r="O51" s="27">
        <v>133.47</v>
      </c>
      <c r="P51" s="27">
        <v>173.47</v>
      </c>
      <c r="Q51" s="27">
        <v>481.91</v>
      </c>
      <c r="R51" s="27">
        <v>772.65</v>
      </c>
      <c r="S51" s="27">
        <v>71.41</v>
      </c>
      <c r="T51" s="27">
        <v>77.39</v>
      </c>
      <c r="U51" s="27">
        <v>6.67</v>
      </c>
      <c r="V51" s="27">
        <v>8.86</v>
      </c>
      <c r="W51" s="27">
        <v>-81.98</v>
      </c>
      <c r="X51" s="27">
        <v>1.49</v>
      </c>
      <c r="Y51" s="27">
        <v>56.17</v>
      </c>
      <c r="Z51" s="27">
        <v>37.950000000000003</v>
      </c>
      <c r="AA51" s="27">
        <v>24.93</v>
      </c>
      <c r="AB51" s="51"/>
      <c r="AC51" s="51"/>
      <c r="AD51" s="51"/>
      <c r="AE51" s="27"/>
      <c r="AF51" s="27"/>
      <c r="AG51" s="27"/>
      <c r="AH51" s="27"/>
      <c r="AI51" s="27"/>
      <c r="AJ51" s="27"/>
      <c r="AK51" s="27"/>
      <c r="AL51" s="27"/>
      <c r="AM51" s="27"/>
    </row>
    <row r="52" spans="1:39">
      <c r="A52" s="117"/>
      <c r="B52" s="119"/>
      <c r="C52" s="12" t="s">
        <v>11</v>
      </c>
      <c r="D52" s="41">
        <f t="shared" si="1"/>
        <v>33889</v>
      </c>
      <c r="E52" s="28">
        <v>268.10000000000002</v>
      </c>
      <c r="F52" s="28">
        <v>493.32</v>
      </c>
      <c r="G52" s="28">
        <v>401.18</v>
      </c>
      <c r="H52" s="28">
        <v>604.46</v>
      </c>
      <c r="I52" s="28">
        <v>485.61</v>
      </c>
      <c r="J52" s="28">
        <v>775.63</v>
      </c>
      <c r="K52" s="28">
        <v>-61.41</v>
      </c>
      <c r="L52" s="28">
        <v>-101.45</v>
      </c>
      <c r="M52" s="28">
        <v>405.85</v>
      </c>
      <c r="N52" s="28">
        <v>612.91</v>
      </c>
      <c r="O52" s="28">
        <v>134.08000000000001</v>
      </c>
      <c r="P52" s="28">
        <v>175.86</v>
      </c>
      <c r="Q52" s="28">
        <v>489.53</v>
      </c>
      <c r="R52" s="28">
        <v>780.99</v>
      </c>
      <c r="S52" s="28">
        <v>71.709999999999994</v>
      </c>
      <c r="T52" s="28">
        <v>77.53</v>
      </c>
      <c r="U52" s="28">
        <v>7.29</v>
      </c>
      <c r="V52" s="28">
        <v>9.5299999999999994</v>
      </c>
      <c r="W52" s="28">
        <v>-81.3</v>
      </c>
      <c r="X52" s="28">
        <v>1.51</v>
      </c>
      <c r="Y52" s="28">
        <v>56.55</v>
      </c>
      <c r="Z52" s="28">
        <v>41.95</v>
      </c>
      <c r="AA52" s="28">
        <v>25.8</v>
      </c>
      <c r="AB52" s="51" t="s">
        <v>12</v>
      </c>
      <c r="AC52" s="51" t="s">
        <v>12</v>
      </c>
      <c r="AD52" s="51" t="s">
        <v>12</v>
      </c>
      <c r="AE52" s="28"/>
      <c r="AF52" s="28"/>
      <c r="AG52" s="28"/>
      <c r="AH52" s="28"/>
      <c r="AI52" s="28"/>
      <c r="AJ52" s="28"/>
      <c r="AK52" s="28"/>
      <c r="AL52" s="28"/>
      <c r="AM52" s="28"/>
    </row>
    <row r="53" spans="1:39">
      <c r="A53" s="117"/>
      <c r="B53" s="119"/>
      <c r="C53" s="3" t="s">
        <v>8</v>
      </c>
      <c r="D53" s="41">
        <f t="shared" si="1"/>
        <v>33889</v>
      </c>
      <c r="E53" s="29">
        <v>269.14</v>
      </c>
      <c r="F53" s="29">
        <v>514.52</v>
      </c>
      <c r="G53" s="29">
        <v>450.15</v>
      </c>
      <c r="H53" s="29">
        <v>669.01</v>
      </c>
      <c r="I53" s="29">
        <v>529.5</v>
      </c>
      <c r="J53" s="29">
        <v>838.85</v>
      </c>
      <c r="K53" s="29">
        <v>-69.180000000000007</v>
      </c>
      <c r="L53" s="29">
        <v>-114.65</v>
      </c>
      <c r="M53" s="29">
        <v>455.43</v>
      </c>
      <c r="N53" s="29">
        <v>678.76</v>
      </c>
      <c r="O53" s="29">
        <v>161.09</v>
      </c>
      <c r="P53" s="29">
        <v>201.55</v>
      </c>
      <c r="Q53" s="29">
        <v>534.04</v>
      </c>
      <c r="R53" s="29">
        <v>845.35</v>
      </c>
      <c r="S53" s="29">
        <v>69.69</v>
      </c>
      <c r="T53" s="29">
        <v>77.44</v>
      </c>
      <c r="U53" s="29">
        <v>7.56</v>
      </c>
      <c r="V53" s="29">
        <v>11.02</v>
      </c>
      <c r="W53" s="29">
        <v>-81.260000000000005</v>
      </c>
      <c r="X53" s="29">
        <v>1.69</v>
      </c>
      <c r="Y53" s="29">
        <v>59.42</v>
      </c>
      <c r="Z53" s="29">
        <v>94.86</v>
      </c>
      <c r="AA53" s="29">
        <v>49.27</v>
      </c>
      <c r="AB53" s="51" t="s">
        <v>12</v>
      </c>
      <c r="AC53" s="51" t="s">
        <v>12</v>
      </c>
      <c r="AD53" s="51" t="s">
        <v>12</v>
      </c>
      <c r="AE53" s="29"/>
      <c r="AF53" s="29"/>
      <c r="AG53" s="29"/>
      <c r="AH53" s="29"/>
      <c r="AI53" s="29"/>
      <c r="AJ53" s="29"/>
      <c r="AK53" s="29"/>
      <c r="AL53" s="29"/>
      <c r="AM53" s="29"/>
    </row>
    <row r="54" spans="1:39">
      <c r="A54" s="117"/>
      <c r="B54" s="119"/>
      <c r="C54" s="9" t="s">
        <v>7</v>
      </c>
      <c r="D54" s="41">
        <f t="shared" si="1"/>
        <v>33889</v>
      </c>
      <c r="E54" s="30">
        <v>269.45999999999998</v>
      </c>
      <c r="F54" s="30">
        <v>502.89</v>
      </c>
      <c r="G54" s="30">
        <v>457.48</v>
      </c>
      <c r="H54" s="30">
        <v>681.07</v>
      </c>
      <c r="I54" s="30">
        <v>535.01</v>
      </c>
      <c r="J54" s="30">
        <v>841.24</v>
      </c>
      <c r="K54" s="30">
        <v>-68.069999999999993</v>
      </c>
      <c r="L54" s="30">
        <v>-115.47</v>
      </c>
      <c r="M54" s="30">
        <v>462.52</v>
      </c>
      <c r="N54" s="30">
        <v>690.79</v>
      </c>
      <c r="O54" s="30">
        <v>166.59</v>
      </c>
      <c r="P54" s="30">
        <v>218.23</v>
      </c>
      <c r="Q54" s="30">
        <v>539.41</v>
      </c>
      <c r="R54" s="30">
        <v>847.48</v>
      </c>
      <c r="S54" s="30">
        <v>69.319999999999993</v>
      </c>
      <c r="T54" s="30">
        <v>75.8</v>
      </c>
      <c r="U54" s="30">
        <v>7.14</v>
      </c>
      <c r="V54" s="30">
        <v>9.84</v>
      </c>
      <c r="W54" s="30">
        <v>-81.540000000000006</v>
      </c>
      <c r="X54" s="30">
        <v>1.72</v>
      </c>
      <c r="Y54" s="30">
        <v>59.77</v>
      </c>
      <c r="Z54" s="30">
        <v>58.99</v>
      </c>
      <c r="AA54" s="30">
        <v>39.229999999999997</v>
      </c>
      <c r="AB54" s="51" t="s">
        <v>12</v>
      </c>
      <c r="AC54" s="51" t="s">
        <v>12</v>
      </c>
      <c r="AD54" s="51" t="s">
        <v>12</v>
      </c>
      <c r="AE54" s="30"/>
      <c r="AF54" s="30"/>
      <c r="AG54" s="30"/>
      <c r="AH54" s="30"/>
      <c r="AI54" s="30"/>
      <c r="AJ54" s="30"/>
      <c r="AK54" s="30"/>
      <c r="AL54" s="30"/>
      <c r="AM54" s="30"/>
    </row>
    <row r="55" spans="1:39" ht="14.25" customHeight="1">
      <c r="A55" s="117"/>
      <c r="B55" s="119"/>
      <c r="C55" s="7" t="s">
        <v>18</v>
      </c>
      <c r="D55" s="41">
        <f t="shared" si="1"/>
        <v>33889</v>
      </c>
      <c r="E55" s="31">
        <v>274.43</v>
      </c>
      <c r="F55" s="31">
        <v>510.93</v>
      </c>
      <c r="G55" s="31">
        <v>447.22</v>
      </c>
      <c r="H55" s="31">
        <v>673.42</v>
      </c>
      <c r="I55" s="31">
        <v>528.38</v>
      </c>
      <c r="J55" s="31">
        <v>843.44</v>
      </c>
      <c r="K55" s="31">
        <v>-59.87</v>
      </c>
      <c r="L55" s="31">
        <v>-105.33</v>
      </c>
      <c r="M55" s="31">
        <v>451.21</v>
      </c>
      <c r="N55" s="31">
        <v>681.61</v>
      </c>
      <c r="O55" s="31">
        <v>163.52000000000001</v>
      </c>
      <c r="P55" s="31">
        <v>219.28</v>
      </c>
      <c r="Q55" s="31">
        <v>531.88</v>
      </c>
      <c r="R55" s="31">
        <v>847.28</v>
      </c>
      <c r="S55" s="31">
        <v>69.489999999999995</v>
      </c>
      <c r="T55" s="31">
        <v>75.75</v>
      </c>
      <c r="U55" s="31">
        <v>6.4</v>
      </c>
      <c r="V55" s="31">
        <v>8.6300000000000008</v>
      </c>
      <c r="W55" s="31">
        <v>-82.38</v>
      </c>
      <c r="X55" s="31">
        <v>1.64</v>
      </c>
      <c r="Y55" s="31">
        <v>58.69</v>
      </c>
      <c r="Z55" s="31">
        <v>48.86</v>
      </c>
      <c r="AA55" s="31">
        <v>36.9</v>
      </c>
      <c r="AB55" s="51" t="s">
        <v>12</v>
      </c>
      <c r="AC55" s="51" t="s">
        <v>12</v>
      </c>
      <c r="AD55" s="51" t="s">
        <v>12</v>
      </c>
      <c r="AE55" s="31"/>
      <c r="AF55" s="31"/>
      <c r="AG55" s="31"/>
      <c r="AH55" s="31"/>
      <c r="AI55" s="31"/>
      <c r="AJ55" s="31"/>
      <c r="AK55" s="31"/>
      <c r="AL55" s="31"/>
      <c r="AM55" s="31"/>
    </row>
    <row r="56" spans="1:39">
      <c r="A56" s="117"/>
      <c r="B56" s="119"/>
      <c r="C56" s="6" t="s">
        <v>19</v>
      </c>
      <c r="D56" s="41">
        <f t="shared" si="1"/>
        <v>33889</v>
      </c>
      <c r="E56" s="32">
        <v>273.83999999999997</v>
      </c>
      <c r="F56" s="32">
        <v>515.66999999999996</v>
      </c>
      <c r="G56" s="32">
        <v>437.12</v>
      </c>
      <c r="H56" s="32">
        <v>648.69000000000005</v>
      </c>
      <c r="I56" s="32">
        <v>520.30999999999995</v>
      </c>
      <c r="J56" s="32">
        <v>825.51</v>
      </c>
      <c r="K56" s="32">
        <v>-52.12</v>
      </c>
      <c r="L56" s="32">
        <v>-92.32</v>
      </c>
      <c r="M56" s="32">
        <v>440.22</v>
      </c>
      <c r="N56" s="32">
        <v>655.23</v>
      </c>
      <c r="O56" s="32">
        <v>162.16</v>
      </c>
      <c r="P56" s="32">
        <v>202.64</v>
      </c>
      <c r="Q56" s="32">
        <v>522.92999999999995</v>
      </c>
      <c r="R56" s="32">
        <v>829.58</v>
      </c>
      <c r="S56" s="32">
        <v>68.89</v>
      </c>
      <c r="T56" s="32">
        <v>76.87</v>
      </c>
      <c r="U56" s="32">
        <v>5.54</v>
      </c>
      <c r="V56" s="32">
        <v>7.46</v>
      </c>
      <c r="W56" s="32">
        <v>-83.2</v>
      </c>
      <c r="X56" s="32">
        <v>1.61</v>
      </c>
      <c r="Y56" s="32">
        <v>58.12</v>
      </c>
      <c r="Z56" s="32">
        <v>66.55</v>
      </c>
      <c r="AA56" s="32">
        <v>42.56</v>
      </c>
      <c r="AB56" s="51" t="s">
        <v>12</v>
      </c>
      <c r="AC56" s="51" t="s">
        <v>12</v>
      </c>
      <c r="AD56" s="51" t="s">
        <v>12</v>
      </c>
      <c r="AE56" s="32"/>
      <c r="AF56" s="32"/>
      <c r="AG56" s="32"/>
      <c r="AH56" s="32"/>
      <c r="AI56" s="32"/>
      <c r="AJ56" s="32"/>
      <c r="AK56" s="32"/>
      <c r="AL56" s="32"/>
      <c r="AM56" s="32"/>
    </row>
    <row r="57" spans="1:39">
      <c r="A57" s="117"/>
      <c r="B57" s="119"/>
      <c r="C57" s="4" t="s">
        <v>23</v>
      </c>
      <c r="D57" s="41">
        <f t="shared" si="1"/>
        <v>33889</v>
      </c>
      <c r="E57" s="33">
        <v>279.08999999999997</v>
      </c>
      <c r="F57" s="33">
        <v>527.26</v>
      </c>
      <c r="G57" s="33">
        <v>447.47</v>
      </c>
      <c r="H57" s="33">
        <v>672.66</v>
      </c>
      <c r="I57" s="33">
        <v>531.57000000000005</v>
      </c>
      <c r="J57" s="33">
        <v>850.56</v>
      </c>
      <c r="K57" s="33">
        <v>-61.12</v>
      </c>
      <c r="L57" s="33">
        <v>-109.09</v>
      </c>
      <c r="M57" s="33">
        <v>451.62</v>
      </c>
      <c r="N57" s="33">
        <v>681.45</v>
      </c>
      <c r="O57" s="33">
        <v>161.26</v>
      </c>
      <c r="P57" s="33">
        <v>217.17</v>
      </c>
      <c r="Q57" s="33">
        <v>535.26</v>
      </c>
      <c r="R57" s="33">
        <v>854.23</v>
      </c>
      <c r="S57" s="33">
        <v>69.989999999999995</v>
      </c>
      <c r="T57" s="33">
        <v>76.459999999999994</v>
      </c>
      <c r="U57" s="33">
        <v>6.74</v>
      </c>
      <c r="V57" s="33">
        <v>10.09</v>
      </c>
      <c r="W57" s="33">
        <v>-82.22</v>
      </c>
      <c r="X57" s="33">
        <v>1.62</v>
      </c>
      <c r="Y57" s="33">
        <v>58.28</v>
      </c>
      <c r="Z57" s="33">
        <v>44.95</v>
      </c>
      <c r="AA57" s="33">
        <v>38.96</v>
      </c>
      <c r="AB57" s="51" t="s">
        <v>12</v>
      </c>
      <c r="AC57" s="51" t="s">
        <v>12</v>
      </c>
      <c r="AD57" s="51" t="s">
        <v>12</v>
      </c>
      <c r="AE57" s="33"/>
      <c r="AF57" s="33"/>
      <c r="AG57" s="33"/>
      <c r="AH57" s="33"/>
      <c r="AI57" s="33"/>
      <c r="AJ57" s="33"/>
      <c r="AK57" s="33"/>
      <c r="AL57" s="33"/>
      <c r="AM57" s="33"/>
    </row>
    <row r="58" spans="1:39">
      <c r="A58" s="117"/>
      <c r="B58" s="119"/>
      <c r="C58" s="10" t="s">
        <v>24</v>
      </c>
      <c r="D58" s="41">
        <f t="shared" si="1"/>
        <v>33889</v>
      </c>
      <c r="E58" s="34">
        <v>268.61</v>
      </c>
      <c r="F58" s="34">
        <v>507</v>
      </c>
      <c r="G58" s="34">
        <v>460.73</v>
      </c>
      <c r="H58" s="34">
        <v>681.83</v>
      </c>
      <c r="I58" s="34">
        <v>537.94000000000005</v>
      </c>
      <c r="J58" s="34">
        <v>843.86</v>
      </c>
      <c r="K58" s="34">
        <v>-62.61</v>
      </c>
      <c r="L58" s="34">
        <v>-105.13</v>
      </c>
      <c r="M58" s="34">
        <v>464.96</v>
      </c>
      <c r="N58" s="34">
        <v>689.89</v>
      </c>
      <c r="O58" s="34">
        <v>172.67</v>
      </c>
      <c r="P58" s="34">
        <v>222.03</v>
      </c>
      <c r="Q58" s="34">
        <v>541.66</v>
      </c>
      <c r="R58" s="34">
        <v>848.47</v>
      </c>
      <c r="S58" s="34">
        <v>68.83</v>
      </c>
      <c r="T58" s="34">
        <v>75.349999999999994</v>
      </c>
      <c r="U58" s="34">
        <v>6.69</v>
      </c>
      <c r="V58" s="34">
        <v>9.83</v>
      </c>
      <c r="W58" s="34">
        <v>-82.26</v>
      </c>
      <c r="X58" s="34">
        <v>1.73</v>
      </c>
      <c r="Y58" s="34">
        <v>59.98</v>
      </c>
      <c r="Z58" s="34">
        <v>64.239999999999995</v>
      </c>
      <c r="AA58" s="34">
        <v>47.71</v>
      </c>
      <c r="AB58" s="51" t="s">
        <v>12</v>
      </c>
      <c r="AC58" s="51" t="s">
        <v>12</v>
      </c>
      <c r="AD58" s="51" t="s">
        <v>12</v>
      </c>
      <c r="AE58" s="34"/>
      <c r="AF58" s="34"/>
      <c r="AG58" s="34"/>
      <c r="AH58" s="34"/>
      <c r="AI58" s="34"/>
      <c r="AJ58" s="34"/>
      <c r="AK58" s="34"/>
      <c r="AL58" s="34"/>
      <c r="AM58" s="34"/>
    </row>
    <row r="59" spans="1:39">
      <c r="A59" s="117"/>
      <c r="B59" s="119"/>
      <c r="C59" s="11" t="s">
        <v>25</v>
      </c>
      <c r="D59" s="41">
        <f t="shared" si="1"/>
        <v>33889</v>
      </c>
      <c r="E59" s="35">
        <v>257.41000000000003</v>
      </c>
      <c r="F59" s="35">
        <v>493.42</v>
      </c>
      <c r="G59" s="35">
        <v>453.08</v>
      </c>
      <c r="H59" s="35">
        <v>665.3</v>
      </c>
      <c r="I59" s="35">
        <v>526.49</v>
      </c>
      <c r="J59" s="35">
        <v>824.25</v>
      </c>
      <c r="K59" s="35">
        <v>-58.85</v>
      </c>
      <c r="L59" s="35">
        <v>-101.58</v>
      </c>
      <c r="M59" s="35">
        <v>456.89</v>
      </c>
      <c r="N59" s="35">
        <v>673.01</v>
      </c>
      <c r="O59" s="35">
        <v>173.91</v>
      </c>
      <c r="P59" s="35">
        <v>216.01</v>
      </c>
      <c r="Q59" s="35">
        <v>529.86</v>
      </c>
      <c r="R59" s="35">
        <v>828.49</v>
      </c>
      <c r="S59" s="35">
        <v>68.03</v>
      </c>
      <c r="T59" s="35">
        <v>75.17</v>
      </c>
      <c r="U59" s="35">
        <v>6.23</v>
      </c>
      <c r="V59" s="35">
        <v>9.0500000000000007</v>
      </c>
      <c r="W59" s="35">
        <v>-82.6</v>
      </c>
      <c r="X59" s="35">
        <v>1.77</v>
      </c>
      <c r="Y59" s="35">
        <v>60.6</v>
      </c>
      <c r="Z59" s="35">
        <v>82.57</v>
      </c>
      <c r="AA59" s="35">
        <v>47.9</v>
      </c>
      <c r="AB59" s="51" t="s">
        <v>12</v>
      </c>
      <c r="AC59" s="51" t="s">
        <v>12</v>
      </c>
      <c r="AD59" s="51" t="s">
        <v>12</v>
      </c>
      <c r="AE59" s="35"/>
      <c r="AF59" s="35"/>
      <c r="AG59" s="35"/>
      <c r="AH59" s="35"/>
      <c r="AI59" s="35"/>
      <c r="AJ59" s="35"/>
      <c r="AK59" s="35"/>
      <c r="AL59" s="35"/>
      <c r="AM59" s="35"/>
    </row>
    <row r="60" spans="1:39">
      <c r="A60" s="117"/>
      <c r="B60" s="119"/>
      <c r="C60" s="8" t="s">
        <v>26</v>
      </c>
      <c r="D60" s="41">
        <f t="shared" si="1"/>
        <v>33889</v>
      </c>
      <c r="E60" s="36">
        <v>272.06</v>
      </c>
      <c r="F60" s="36">
        <v>525.67999999999995</v>
      </c>
      <c r="G60" s="36">
        <v>497.35</v>
      </c>
      <c r="H60" s="36">
        <v>725.37</v>
      </c>
      <c r="I60" s="36">
        <v>572.80999999999995</v>
      </c>
      <c r="J60" s="36">
        <v>890.74</v>
      </c>
      <c r="K60" s="36">
        <v>-69.52</v>
      </c>
      <c r="L60" s="36">
        <v>-115.03</v>
      </c>
      <c r="M60" s="36">
        <v>502.18</v>
      </c>
      <c r="N60" s="36">
        <v>734.43</v>
      </c>
      <c r="O60" s="36">
        <v>191.23</v>
      </c>
      <c r="P60" s="36">
        <v>240.91</v>
      </c>
      <c r="Q60" s="36">
        <v>577.23</v>
      </c>
      <c r="R60" s="36">
        <v>896.44</v>
      </c>
      <c r="S60" s="36">
        <v>68.11</v>
      </c>
      <c r="T60" s="36">
        <v>74.84</v>
      </c>
      <c r="U60" s="36">
        <v>6.9</v>
      </c>
      <c r="V60" s="36">
        <v>10.35</v>
      </c>
      <c r="W60" s="36">
        <v>-82.04</v>
      </c>
      <c r="X60" s="36">
        <v>1.85</v>
      </c>
      <c r="Y60" s="36">
        <v>61.55</v>
      </c>
      <c r="Z60" s="36">
        <v>71.56</v>
      </c>
      <c r="AA60" s="36">
        <v>52.12</v>
      </c>
      <c r="AB60" s="51" t="s">
        <v>12</v>
      </c>
      <c r="AC60" s="51" t="s">
        <v>12</v>
      </c>
      <c r="AD60" s="51" t="s">
        <v>12</v>
      </c>
      <c r="AE60" s="36"/>
      <c r="AF60" s="36"/>
      <c r="AG60" s="36"/>
      <c r="AH60" s="36"/>
      <c r="AI60" s="36"/>
      <c r="AJ60" s="36"/>
      <c r="AK60" s="36"/>
      <c r="AL60" s="36"/>
      <c r="AM60" s="36"/>
    </row>
    <row r="61" spans="1:39">
      <c r="A61" s="117"/>
      <c r="B61" s="119"/>
      <c r="C61" s="19" t="s">
        <v>27</v>
      </c>
      <c r="D61" s="41">
        <f t="shared" si="1"/>
        <v>33889</v>
      </c>
      <c r="E61" s="38">
        <v>277.04000000000002</v>
      </c>
      <c r="F61" s="38">
        <v>514.77</v>
      </c>
      <c r="G61" s="38">
        <v>442.9</v>
      </c>
      <c r="H61" s="38">
        <v>664.82</v>
      </c>
      <c r="I61" s="38">
        <v>526.1</v>
      </c>
      <c r="J61" s="38">
        <v>836.03</v>
      </c>
      <c r="K61" s="38">
        <v>-66.02</v>
      </c>
      <c r="L61" s="38">
        <v>-113.89</v>
      </c>
      <c r="M61" s="38">
        <v>447.79</v>
      </c>
      <c r="N61" s="38">
        <v>674.5</v>
      </c>
      <c r="O61" s="38">
        <v>155.66999999999999</v>
      </c>
      <c r="P61" s="38">
        <v>202.03</v>
      </c>
      <c r="Q61" s="38">
        <v>530.28</v>
      </c>
      <c r="R61" s="38">
        <v>841.67</v>
      </c>
      <c r="S61" s="38">
        <v>70.28</v>
      </c>
      <c r="T61" s="38">
        <v>76.8</v>
      </c>
      <c r="U61" s="38">
        <v>7.08</v>
      </c>
      <c r="V61" s="38">
        <v>9.99</v>
      </c>
      <c r="W61" s="38">
        <v>-81.52</v>
      </c>
      <c r="X61" s="38">
        <v>1.62</v>
      </c>
      <c r="Y61" s="38">
        <v>58.26</v>
      </c>
      <c r="Z61" s="38">
        <v>43.86</v>
      </c>
      <c r="AA61" s="38">
        <v>31.71</v>
      </c>
      <c r="AB61" s="51" t="s">
        <v>12</v>
      </c>
      <c r="AC61" s="51" t="s">
        <v>12</v>
      </c>
      <c r="AD61" s="51" t="s">
        <v>12</v>
      </c>
      <c r="AE61" s="38"/>
      <c r="AF61" s="38"/>
      <c r="AG61" s="38"/>
      <c r="AH61" s="38"/>
      <c r="AI61" s="38"/>
      <c r="AJ61" s="38"/>
      <c r="AK61" s="38"/>
      <c r="AL61" s="38"/>
      <c r="AM61" s="38"/>
    </row>
    <row r="62" spans="1:39">
      <c r="A62" s="117"/>
      <c r="B62" s="120"/>
      <c r="C62" s="21" t="s">
        <v>28</v>
      </c>
      <c r="D62" s="41">
        <f t="shared" si="1"/>
        <v>33889</v>
      </c>
      <c r="E62" s="37">
        <v>283.63</v>
      </c>
      <c r="F62" s="37">
        <v>531.65</v>
      </c>
      <c r="G62" s="37">
        <v>444.67</v>
      </c>
      <c r="H62" s="37">
        <v>671.54</v>
      </c>
      <c r="I62" s="37">
        <v>531.11</v>
      </c>
      <c r="J62" s="37">
        <v>852.5</v>
      </c>
      <c r="K62" s="37">
        <v>-65.069999999999993</v>
      </c>
      <c r="L62" s="37">
        <v>-113.31</v>
      </c>
      <c r="M62" s="37">
        <v>449.41</v>
      </c>
      <c r="N62" s="37">
        <v>681.03</v>
      </c>
      <c r="O62" s="37">
        <v>155.22</v>
      </c>
      <c r="P62" s="37">
        <v>203.78</v>
      </c>
      <c r="Q62" s="37">
        <v>535.14</v>
      </c>
      <c r="R62" s="37">
        <v>858.15</v>
      </c>
      <c r="S62" s="37">
        <v>70.47</v>
      </c>
      <c r="T62" s="37">
        <v>77.14</v>
      </c>
      <c r="U62" s="37">
        <v>6.9</v>
      </c>
      <c r="V62" s="37">
        <v>9.52</v>
      </c>
      <c r="W62" s="37">
        <v>-81.67</v>
      </c>
      <c r="X62" s="37">
        <v>1.58</v>
      </c>
      <c r="Y62" s="37">
        <v>57.74</v>
      </c>
      <c r="Z62" s="37">
        <v>47.9</v>
      </c>
      <c r="AA62" s="37">
        <v>27.18</v>
      </c>
      <c r="AB62" s="51" t="s">
        <v>12</v>
      </c>
      <c r="AC62" s="51" t="s">
        <v>12</v>
      </c>
      <c r="AD62" s="51" t="s">
        <v>12</v>
      </c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39">
      <c r="A63" s="117"/>
      <c r="B63" s="118">
        <v>5</v>
      </c>
      <c r="C63" s="2" t="s">
        <v>16</v>
      </c>
      <c r="D63" s="41">
        <f>D49+11111+139</f>
        <v>45139</v>
      </c>
      <c r="E63" s="25">
        <v>264.37</v>
      </c>
      <c r="F63" s="25">
        <v>497.24</v>
      </c>
      <c r="G63" s="25">
        <v>442.88</v>
      </c>
      <c r="H63" s="25">
        <v>659.21</v>
      </c>
      <c r="I63" s="25">
        <v>520.04999999999995</v>
      </c>
      <c r="J63" s="25">
        <v>822.94</v>
      </c>
      <c r="K63" s="25">
        <v>-58.62</v>
      </c>
      <c r="L63" s="25">
        <v>-101.39</v>
      </c>
      <c r="M63" s="25">
        <v>446.74</v>
      </c>
      <c r="N63" s="25">
        <v>666.96</v>
      </c>
      <c r="O63" s="25">
        <v>164.91</v>
      </c>
      <c r="P63" s="25">
        <v>210.68</v>
      </c>
      <c r="Q63" s="25">
        <v>523.42999999999995</v>
      </c>
      <c r="R63" s="25">
        <v>827.28</v>
      </c>
      <c r="S63" s="25">
        <v>68.930000000000007</v>
      </c>
      <c r="T63" s="25">
        <v>75.760000000000005</v>
      </c>
      <c r="U63" s="25">
        <v>6.31</v>
      </c>
      <c r="V63" s="25">
        <v>8.4</v>
      </c>
      <c r="W63" s="25">
        <v>-82.46</v>
      </c>
      <c r="X63" s="25">
        <v>1.69</v>
      </c>
      <c r="Y63" s="25">
        <v>59.38</v>
      </c>
      <c r="Z63" s="25">
        <v>43.58</v>
      </c>
      <c r="AA63" s="25">
        <v>27.22</v>
      </c>
      <c r="AB63" s="51" t="s">
        <v>12</v>
      </c>
      <c r="AC63" s="51" t="s">
        <v>12</v>
      </c>
      <c r="AD63" s="51" t="s">
        <v>12</v>
      </c>
      <c r="AE63" s="25"/>
      <c r="AF63" s="25"/>
      <c r="AG63" s="25"/>
      <c r="AH63" s="25"/>
      <c r="AI63" s="25"/>
      <c r="AJ63" s="25"/>
      <c r="AK63" s="25"/>
      <c r="AL63" s="25"/>
      <c r="AM63" s="25"/>
    </row>
    <row r="64" spans="1:39">
      <c r="A64" s="117"/>
      <c r="B64" s="119"/>
      <c r="C64" s="1" t="s">
        <v>15</v>
      </c>
      <c r="D64" s="41">
        <f t="shared" ref="D64:D76" si="2">D50+11111+139</f>
        <v>45139</v>
      </c>
      <c r="E64" s="26">
        <v>264.94</v>
      </c>
      <c r="F64" s="26">
        <v>499.79</v>
      </c>
      <c r="G64" s="26">
        <v>462.83</v>
      </c>
      <c r="H64" s="26">
        <v>692.52</v>
      </c>
      <c r="I64" s="26">
        <v>537.20000000000005</v>
      </c>
      <c r="J64" s="26">
        <v>848.2</v>
      </c>
      <c r="K64" s="26">
        <v>-65.95</v>
      </c>
      <c r="L64" s="26">
        <v>-116.08</v>
      </c>
      <c r="M64" s="26">
        <v>467.51</v>
      </c>
      <c r="N64" s="26">
        <v>702.18</v>
      </c>
      <c r="O64" s="26">
        <v>173.1</v>
      </c>
      <c r="P64" s="26">
        <v>229.66</v>
      </c>
      <c r="Q64" s="26">
        <v>541.41999999999996</v>
      </c>
      <c r="R64" s="26">
        <v>853.68</v>
      </c>
      <c r="S64" s="26">
        <v>68.94</v>
      </c>
      <c r="T64" s="26">
        <v>75.3</v>
      </c>
      <c r="U64" s="26">
        <v>6.98</v>
      </c>
      <c r="V64" s="26">
        <v>9.31</v>
      </c>
      <c r="W64" s="26">
        <v>-81.89</v>
      </c>
      <c r="X64" s="26">
        <v>1.76</v>
      </c>
      <c r="Y64" s="26">
        <v>60.46</v>
      </c>
      <c r="Z64" s="26">
        <v>67.31</v>
      </c>
      <c r="AA64" s="26">
        <v>35.799999999999997</v>
      </c>
      <c r="AB64" s="43">
        <v>3.706</v>
      </c>
      <c r="AC64" s="43">
        <v>0.36</v>
      </c>
      <c r="AD64" s="43">
        <v>-1.5978000000000001</v>
      </c>
      <c r="AE64" s="26"/>
      <c r="AF64" s="26"/>
      <c r="AG64" s="26"/>
      <c r="AH64" s="26"/>
      <c r="AI64" s="26"/>
      <c r="AJ64" s="26"/>
      <c r="AK64" s="26"/>
      <c r="AL64" s="26"/>
      <c r="AM64" s="26"/>
    </row>
    <row r="65" spans="1:39">
      <c r="A65" s="117"/>
      <c r="B65" s="119"/>
      <c r="C65" s="5" t="s">
        <v>14</v>
      </c>
      <c r="D65" s="41">
        <f t="shared" si="2"/>
        <v>45139</v>
      </c>
      <c r="E65" s="27">
        <v>265.77999999999997</v>
      </c>
      <c r="F65" s="27">
        <v>497.47</v>
      </c>
      <c r="G65" s="27">
        <v>404.41</v>
      </c>
      <c r="H65" s="27">
        <v>605.46</v>
      </c>
      <c r="I65" s="27">
        <v>484.97</v>
      </c>
      <c r="J65" s="27">
        <v>779.47</v>
      </c>
      <c r="K65" s="27">
        <v>-56.79</v>
      </c>
      <c r="L65" s="27">
        <v>-96.4</v>
      </c>
      <c r="M65" s="27">
        <v>408.38</v>
      </c>
      <c r="N65" s="27">
        <v>613.09</v>
      </c>
      <c r="O65" s="27">
        <v>138.08000000000001</v>
      </c>
      <c r="P65" s="27">
        <v>179.39</v>
      </c>
      <c r="Q65" s="27">
        <v>488.35</v>
      </c>
      <c r="R65" s="27">
        <v>783.86</v>
      </c>
      <c r="S65" s="27">
        <v>70.91</v>
      </c>
      <c r="T65" s="27">
        <v>77.06</v>
      </c>
      <c r="U65" s="27">
        <v>6.68</v>
      </c>
      <c r="V65" s="27">
        <v>9.32</v>
      </c>
      <c r="W65" s="27">
        <v>-82.01</v>
      </c>
      <c r="X65" s="27">
        <v>1.54</v>
      </c>
      <c r="Y65" s="27">
        <v>56.94</v>
      </c>
      <c r="Z65" s="27">
        <v>42.45</v>
      </c>
      <c r="AA65" s="27">
        <v>28.47</v>
      </c>
      <c r="AB65" s="51" t="s">
        <v>12</v>
      </c>
      <c r="AC65" s="51" t="s">
        <v>12</v>
      </c>
      <c r="AD65" s="51" t="s">
        <v>12</v>
      </c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>
      <c r="A66" s="117"/>
      <c r="B66" s="119"/>
      <c r="C66" s="12" t="s">
        <v>11</v>
      </c>
      <c r="D66" s="41">
        <f t="shared" si="2"/>
        <v>45139</v>
      </c>
      <c r="E66" s="28">
        <v>265.95999999999998</v>
      </c>
      <c r="F66" s="28">
        <v>495.29</v>
      </c>
      <c r="G66" s="28">
        <v>413.63</v>
      </c>
      <c r="H66" s="28">
        <v>626.72</v>
      </c>
      <c r="I66" s="28">
        <v>495.34</v>
      </c>
      <c r="J66" s="28">
        <v>791.15</v>
      </c>
      <c r="K66" s="28">
        <v>-64.33</v>
      </c>
      <c r="L66" s="28">
        <v>-108.08</v>
      </c>
      <c r="M66" s="28">
        <v>418.6</v>
      </c>
      <c r="N66" s="28">
        <v>635.97</v>
      </c>
      <c r="O66" s="28">
        <v>141.13999999999999</v>
      </c>
      <c r="P66" s="28">
        <v>185.4</v>
      </c>
      <c r="Q66" s="28">
        <v>499.55</v>
      </c>
      <c r="R66" s="28">
        <v>797.05</v>
      </c>
      <c r="S66" s="28">
        <v>70.98</v>
      </c>
      <c r="T66" s="28">
        <v>77.47</v>
      </c>
      <c r="U66" s="28">
        <v>7.38</v>
      </c>
      <c r="V66" s="28">
        <v>9.7100000000000009</v>
      </c>
      <c r="W66" s="28">
        <v>-81.16</v>
      </c>
      <c r="X66" s="28">
        <v>1.57</v>
      </c>
      <c r="Y66" s="28">
        <v>57.57</v>
      </c>
      <c r="Z66" s="28">
        <v>55.32</v>
      </c>
      <c r="AA66" s="28">
        <v>28.38</v>
      </c>
      <c r="AB66" s="51" t="s">
        <v>12</v>
      </c>
      <c r="AC66" s="51" t="s">
        <v>12</v>
      </c>
      <c r="AD66" s="51" t="s">
        <v>12</v>
      </c>
      <c r="AE66" s="28"/>
      <c r="AF66" s="28"/>
      <c r="AG66" s="28"/>
      <c r="AH66" s="28"/>
      <c r="AI66" s="28"/>
      <c r="AJ66" s="28"/>
      <c r="AK66" s="28"/>
      <c r="AL66" s="28"/>
      <c r="AM66" s="28"/>
    </row>
    <row r="67" spans="1:39">
      <c r="A67" s="117"/>
      <c r="B67" s="119"/>
      <c r="C67" s="3" t="s">
        <v>8</v>
      </c>
      <c r="D67" s="41">
        <f t="shared" si="2"/>
        <v>45139</v>
      </c>
      <c r="E67" s="29">
        <v>261.81</v>
      </c>
      <c r="F67" s="29">
        <v>503.52</v>
      </c>
      <c r="G67" s="29">
        <v>468.97</v>
      </c>
      <c r="H67" s="29">
        <v>717.22</v>
      </c>
      <c r="I67" s="29">
        <v>542.45000000000005</v>
      </c>
      <c r="J67" s="29">
        <v>871.2</v>
      </c>
      <c r="K67" s="29">
        <v>-68.59</v>
      </c>
      <c r="L67" s="29">
        <v>-114.61</v>
      </c>
      <c r="M67" s="29">
        <v>473.96</v>
      </c>
      <c r="N67" s="29">
        <v>726.32</v>
      </c>
      <c r="O67" s="29">
        <v>176.49</v>
      </c>
      <c r="P67" s="29">
        <v>237.25</v>
      </c>
      <c r="Q67" s="29">
        <v>546.89</v>
      </c>
      <c r="R67" s="29">
        <v>877.46</v>
      </c>
      <c r="S67" s="29">
        <v>68.53</v>
      </c>
      <c r="T67" s="29">
        <v>75.239999999999995</v>
      </c>
      <c r="U67" s="29">
        <v>7.28</v>
      </c>
      <c r="V67" s="29">
        <v>10.26</v>
      </c>
      <c r="W67" s="29">
        <v>-81.680000000000007</v>
      </c>
      <c r="X67" s="29">
        <v>1.81</v>
      </c>
      <c r="Y67" s="29">
        <v>61.08</v>
      </c>
      <c r="Z67" s="29">
        <v>103.86</v>
      </c>
      <c r="AA67" s="29">
        <v>50.95</v>
      </c>
      <c r="AB67" s="51" t="s">
        <v>12</v>
      </c>
      <c r="AC67" s="51" t="s">
        <v>12</v>
      </c>
      <c r="AD67" s="51" t="s">
        <v>12</v>
      </c>
      <c r="AE67" s="29"/>
      <c r="AF67" s="29"/>
      <c r="AG67" s="29"/>
      <c r="AH67" s="29"/>
      <c r="AI67" s="29"/>
      <c r="AJ67" s="29"/>
      <c r="AK67" s="29"/>
      <c r="AL67" s="29"/>
      <c r="AM67" s="29"/>
    </row>
    <row r="68" spans="1:39">
      <c r="A68" s="117"/>
      <c r="B68" s="119"/>
      <c r="C68" s="9" t="s">
        <v>7</v>
      </c>
      <c r="D68" s="41">
        <f t="shared" si="2"/>
        <v>45139</v>
      </c>
      <c r="E68" s="30">
        <v>267.11</v>
      </c>
      <c r="F68" s="30">
        <v>504.5</v>
      </c>
      <c r="G68" s="30">
        <v>464.91</v>
      </c>
      <c r="H68" s="30">
        <v>688.79</v>
      </c>
      <c r="I68" s="30">
        <v>540.74</v>
      </c>
      <c r="J68" s="30">
        <v>848.99</v>
      </c>
      <c r="K68" s="30">
        <v>-68.53</v>
      </c>
      <c r="L68" s="30">
        <v>-113.84</v>
      </c>
      <c r="M68" s="30">
        <v>469.93</v>
      </c>
      <c r="N68" s="30">
        <v>698.13</v>
      </c>
      <c r="O68" s="30">
        <v>172.03</v>
      </c>
      <c r="P68" s="30">
        <v>219.26</v>
      </c>
      <c r="Q68" s="30">
        <v>545.13</v>
      </c>
      <c r="R68" s="30">
        <v>854.58</v>
      </c>
      <c r="S68" s="30">
        <v>68.86</v>
      </c>
      <c r="T68" s="30">
        <v>75.61</v>
      </c>
      <c r="U68" s="30">
        <v>7.09</v>
      </c>
      <c r="V68" s="30">
        <v>10.24</v>
      </c>
      <c r="W68" s="30">
        <v>-81.61</v>
      </c>
      <c r="X68" s="30">
        <v>1.76</v>
      </c>
      <c r="Y68" s="30">
        <v>60.39</v>
      </c>
      <c r="Z68" s="30">
        <v>60.03</v>
      </c>
      <c r="AA68" s="30">
        <v>41.88</v>
      </c>
      <c r="AB68" s="51" t="s">
        <v>12</v>
      </c>
      <c r="AC68" s="51" t="s">
        <v>12</v>
      </c>
      <c r="AD68" s="51" t="s">
        <v>12</v>
      </c>
      <c r="AE68" s="30"/>
      <c r="AF68" s="30"/>
      <c r="AG68" s="30"/>
      <c r="AH68" s="30"/>
      <c r="AI68" s="30"/>
      <c r="AJ68" s="30"/>
      <c r="AK68" s="30"/>
      <c r="AL68" s="30"/>
      <c r="AM68" s="30"/>
    </row>
    <row r="69" spans="1:39">
      <c r="A69" s="117"/>
      <c r="B69" s="119"/>
      <c r="C69" s="7" t="s">
        <v>18</v>
      </c>
      <c r="D69" s="41">
        <f t="shared" si="2"/>
        <v>45139</v>
      </c>
      <c r="E69" s="31">
        <v>273.94</v>
      </c>
      <c r="F69" s="31">
        <v>514.37</v>
      </c>
      <c r="G69" s="31">
        <v>459.88</v>
      </c>
      <c r="H69" s="31">
        <v>686.06</v>
      </c>
      <c r="I69" s="31">
        <v>539.39</v>
      </c>
      <c r="J69" s="31">
        <v>851.84</v>
      </c>
      <c r="K69" s="31">
        <v>-61.18</v>
      </c>
      <c r="L69" s="31">
        <v>-105.15</v>
      </c>
      <c r="M69" s="31">
        <v>463.93</v>
      </c>
      <c r="N69" s="31">
        <v>694.07</v>
      </c>
      <c r="O69" s="31">
        <v>171.23</v>
      </c>
      <c r="P69" s="31">
        <v>222.42</v>
      </c>
      <c r="Q69" s="31">
        <v>542.92999999999995</v>
      </c>
      <c r="R69" s="31">
        <v>856.46</v>
      </c>
      <c r="S69" s="31">
        <v>68.989999999999995</v>
      </c>
      <c r="T69" s="31">
        <v>75.290000000000006</v>
      </c>
      <c r="U69" s="31">
        <v>6.42</v>
      </c>
      <c r="V69" s="31">
        <v>8.67</v>
      </c>
      <c r="W69" s="31">
        <v>-82.42</v>
      </c>
      <c r="X69" s="31">
        <v>1.69</v>
      </c>
      <c r="Y69" s="31">
        <v>59.44</v>
      </c>
      <c r="Z69" s="31">
        <v>58.09</v>
      </c>
      <c r="AA69" s="31">
        <v>39.200000000000003</v>
      </c>
      <c r="AB69" s="47">
        <v>3.8380000000000001</v>
      </c>
      <c r="AC69" s="47">
        <v>0.44400000000000001</v>
      </c>
      <c r="AD69" s="47">
        <v>-1.6856</v>
      </c>
      <c r="AE69" s="31"/>
      <c r="AF69" s="31"/>
      <c r="AG69" s="31"/>
      <c r="AH69" s="31"/>
      <c r="AI69" s="31"/>
      <c r="AJ69" s="31"/>
      <c r="AK69" s="31"/>
      <c r="AL69" s="31"/>
      <c r="AM69" s="31"/>
    </row>
    <row r="70" spans="1:39">
      <c r="A70" s="117"/>
      <c r="B70" s="119"/>
      <c r="C70" s="6" t="s">
        <v>19</v>
      </c>
      <c r="D70" s="41">
        <f t="shared" si="2"/>
        <v>45139</v>
      </c>
      <c r="E70" s="32">
        <v>270.92</v>
      </c>
      <c r="F70" s="32">
        <v>510.41</v>
      </c>
      <c r="G70" s="32">
        <v>454.73</v>
      </c>
      <c r="H70" s="32">
        <v>669.14</v>
      </c>
      <c r="I70" s="32">
        <v>534.11</v>
      </c>
      <c r="J70" s="32">
        <v>835.29</v>
      </c>
      <c r="K70" s="32">
        <v>-57.28</v>
      </c>
      <c r="L70" s="32">
        <v>-97.67</v>
      </c>
      <c r="M70" s="32">
        <v>458.32</v>
      </c>
      <c r="N70" s="32">
        <v>676.23</v>
      </c>
      <c r="O70" s="32">
        <v>171.43</v>
      </c>
      <c r="P70" s="32">
        <v>214.72</v>
      </c>
      <c r="Q70" s="32">
        <v>537.27</v>
      </c>
      <c r="R70" s="32">
        <v>839.98</v>
      </c>
      <c r="S70" s="32">
        <v>68.930000000000007</v>
      </c>
      <c r="T70" s="32">
        <v>75.61</v>
      </c>
      <c r="U70" s="32">
        <v>6.41</v>
      </c>
      <c r="V70" s="32">
        <v>10.98</v>
      </c>
      <c r="W70" s="32">
        <v>-82.82</v>
      </c>
      <c r="X70" s="32">
        <v>1.69</v>
      </c>
      <c r="Y70" s="32">
        <v>59.41</v>
      </c>
      <c r="Z70" s="32">
        <v>72.760000000000005</v>
      </c>
      <c r="AA70" s="32">
        <v>44.53</v>
      </c>
      <c r="AB70" s="51" t="s">
        <v>12</v>
      </c>
      <c r="AC70" s="51" t="s">
        <v>12</v>
      </c>
      <c r="AD70" s="51" t="s">
        <v>12</v>
      </c>
      <c r="AE70" s="32"/>
      <c r="AF70" s="32"/>
      <c r="AG70" s="32"/>
      <c r="AH70" s="32"/>
      <c r="AI70" s="32"/>
      <c r="AJ70" s="32"/>
      <c r="AK70" s="32"/>
      <c r="AL70" s="32"/>
      <c r="AM70" s="32"/>
    </row>
    <row r="71" spans="1:39">
      <c r="A71" s="117"/>
      <c r="B71" s="119"/>
      <c r="C71" s="4" t="s">
        <v>23</v>
      </c>
      <c r="D71" s="41">
        <f t="shared" si="2"/>
        <v>45139</v>
      </c>
      <c r="E71" s="33">
        <v>280</v>
      </c>
      <c r="F71" s="33">
        <v>531.04</v>
      </c>
      <c r="G71" s="33">
        <v>454.92</v>
      </c>
      <c r="H71" s="33">
        <v>683.1</v>
      </c>
      <c r="I71" s="33">
        <v>538.83000000000004</v>
      </c>
      <c r="J71" s="33">
        <v>864.13</v>
      </c>
      <c r="K71" s="33">
        <v>-60.28</v>
      </c>
      <c r="L71" s="33">
        <v>-101.66</v>
      </c>
      <c r="M71" s="33">
        <v>458.9</v>
      </c>
      <c r="N71" s="33">
        <v>690.62</v>
      </c>
      <c r="O71" s="33">
        <v>166.46</v>
      </c>
      <c r="P71" s="33">
        <v>222.66</v>
      </c>
      <c r="Q71" s="33">
        <v>542.37</v>
      </c>
      <c r="R71" s="33">
        <v>867.43</v>
      </c>
      <c r="S71" s="33">
        <v>69.489999999999995</v>
      </c>
      <c r="T71" s="33">
        <v>76.099999999999994</v>
      </c>
      <c r="U71" s="33">
        <v>6.49</v>
      </c>
      <c r="V71" s="33">
        <v>10.38</v>
      </c>
      <c r="W71" s="33">
        <v>-82.45</v>
      </c>
      <c r="X71" s="33">
        <v>1.64</v>
      </c>
      <c r="Y71" s="33">
        <v>58.61</v>
      </c>
      <c r="Z71" s="33">
        <v>52.98</v>
      </c>
      <c r="AA71" s="33">
        <v>44.78</v>
      </c>
      <c r="AB71" s="48">
        <v>3.78</v>
      </c>
      <c r="AC71" s="48">
        <v>0.41</v>
      </c>
      <c r="AD71" s="48">
        <v>-1.5132000000000001</v>
      </c>
      <c r="AE71" s="33"/>
      <c r="AF71" s="33"/>
      <c r="AG71" s="33"/>
      <c r="AH71" s="33"/>
      <c r="AI71" s="33"/>
      <c r="AJ71" s="33"/>
      <c r="AK71" s="33"/>
      <c r="AL71" s="33"/>
      <c r="AM71" s="33"/>
    </row>
    <row r="72" spans="1:39">
      <c r="A72" s="117"/>
      <c r="B72" s="119"/>
      <c r="C72" s="10" t="s">
        <v>24</v>
      </c>
      <c r="D72" s="41">
        <f t="shared" si="2"/>
        <v>45139</v>
      </c>
      <c r="E72" s="34">
        <v>267.83999999999997</v>
      </c>
      <c r="F72" s="34">
        <v>505.58</v>
      </c>
      <c r="G72" s="34">
        <v>478.48</v>
      </c>
      <c r="H72" s="34">
        <v>699.43</v>
      </c>
      <c r="I72" s="34">
        <v>553.44000000000005</v>
      </c>
      <c r="J72" s="34">
        <v>860.78</v>
      </c>
      <c r="K72" s="34">
        <v>-65.430000000000007</v>
      </c>
      <c r="L72" s="34">
        <v>-108.81</v>
      </c>
      <c r="M72" s="34">
        <v>482.93</v>
      </c>
      <c r="N72" s="34">
        <v>707.84</v>
      </c>
      <c r="O72" s="34">
        <v>182.85</v>
      </c>
      <c r="P72" s="34">
        <v>235.41</v>
      </c>
      <c r="Q72" s="34">
        <v>557.41999999999996</v>
      </c>
      <c r="R72" s="34">
        <v>864.79</v>
      </c>
      <c r="S72" s="34">
        <v>78.3</v>
      </c>
      <c r="T72" s="34">
        <v>74.900000000000006</v>
      </c>
      <c r="U72" s="34">
        <v>6.8</v>
      </c>
      <c r="V72" s="34">
        <v>9.81</v>
      </c>
      <c r="W72" s="34">
        <v>-82.21</v>
      </c>
      <c r="X72" s="34">
        <v>1.8</v>
      </c>
      <c r="Y72" s="34">
        <v>60.99</v>
      </c>
      <c r="Z72" s="34">
        <v>72.92</v>
      </c>
      <c r="AA72" s="34">
        <v>53.25</v>
      </c>
      <c r="AB72" s="51" t="s">
        <v>12</v>
      </c>
      <c r="AC72" s="51" t="s">
        <v>12</v>
      </c>
      <c r="AD72" s="51" t="s">
        <v>12</v>
      </c>
      <c r="AE72" s="34"/>
      <c r="AF72" s="34"/>
      <c r="AG72" s="34"/>
      <c r="AH72" s="34"/>
      <c r="AI72" s="34"/>
      <c r="AJ72" s="34"/>
      <c r="AK72" s="34"/>
      <c r="AL72" s="34"/>
      <c r="AM72" s="34"/>
    </row>
    <row r="73" spans="1:39">
      <c r="A73" s="117"/>
      <c r="B73" s="119"/>
      <c r="C73" s="11" t="s">
        <v>25</v>
      </c>
      <c r="D73" s="41">
        <f t="shared" si="2"/>
        <v>45139</v>
      </c>
      <c r="E73" s="35">
        <v>253.12</v>
      </c>
      <c r="F73" s="35">
        <v>497.38</v>
      </c>
      <c r="G73" s="35">
        <v>495.39</v>
      </c>
      <c r="H73" s="35">
        <v>708.14</v>
      </c>
      <c r="I73" s="35">
        <v>563.22</v>
      </c>
      <c r="J73" s="35">
        <v>859.93</v>
      </c>
      <c r="K73" s="35">
        <v>-62.89</v>
      </c>
      <c r="L73" s="35">
        <v>-105.16</v>
      </c>
      <c r="M73" s="35">
        <v>499.37</v>
      </c>
      <c r="N73" s="35">
        <v>715.91</v>
      </c>
      <c r="O73" s="35">
        <v>200.81</v>
      </c>
      <c r="P73" s="35">
        <v>242.88</v>
      </c>
      <c r="Q73" s="35">
        <v>566.84</v>
      </c>
      <c r="R73" s="35">
        <v>864.18</v>
      </c>
      <c r="S73" s="35">
        <v>66.48</v>
      </c>
      <c r="T73" s="35">
        <v>74.17</v>
      </c>
      <c r="U73" s="35">
        <v>6.16</v>
      </c>
      <c r="V73" s="35">
        <v>9.1300000000000008</v>
      </c>
      <c r="W73" s="35">
        <v>-82.76</v>
      </c>
      <c r="X73" s="35">
        <v>1.97</v>
      </c>
      <c r="Y73" s="35">
        <v>63.12</v>
      </c>
      <c r="Z73" s="35">
        <v>99.36</v>
      </c>
      <c r="AA73" s="35">
        <v>60.75</v>
      </c>
      <c r="AB73" s="49">
        <v>4.2939999999999996</v>
      </c>
      <c r="AC73" s="49">
        <v>0.48599999999999999</v>
      </c>
      <c r="AD73" s="49">
        <v>-1.7886</v>
      </c>
      <c r="AE73" s="35"/>
      <c r="AF73" s="35"/>
      <c r="AG73" s="35"/>
      <c r="AH73" s="35"/>
      <c r="AI73" s="35"/>
      <c r="AJ73" s="35"/>
      <c r="AK73" s="35"/>
      <c r="AL73" s="35"/>
      <c r="AM73" s="35"/>
    </row>
    <row r="74" spans="1:39">
      <c r="A74" s="117"/>
      <c r="B74" s="119"/>
      <c r="C74" s="8" t="s">
        <v>26</v>
      </c>
      <c r="D74" s="41">
        <f t="shared" si="2"/>
        <v>45139</v>
      </c>
      <c r="E74" s="36">
        <v>269.97000000000003</v>
      </c>
      <c r="F74" s="36">
        <v>534.26</v>
      </c>
      <c r="G74" s="36">
        <v>526.70000000000005</v>
      </c>
      <c r="H74" s="36">
        <v>757.76</v>
      </c>
      <c r="I74" s="36">
        <v>599.04999999999995</v>
      </c>
      <c r="J74" s="36">
        <v>922.23</v>
      </c>
      <c r="K74" s="36">
        <v>-72.459999999999994</v>
      </c>
      <c r="L74" s="36">
        <v>-116.77</v>
      </c>
      <c r="M74" s="36">
        <v>531.66</v>
      </c>
      <c r="N74" s="36">
        <v>766.7</v>
      </c>
      <c r="O74" s="36">
        <v>209.49</v>
      </c>
      <c r="P74" s="36">
        <v>257.36</v>
      </c>
      <c r="Q74" s="36">
        <v>603.64</v>
      </c>
      <c r="R74" s="36">
        <v>927.06</v>
      </c>
      <c r="S74" s="36">
        <v>67.069999999999993</v>
      </c>
      <c r="T74" s="36">
        <v>74.319999999999993</v>
      </c>
      <c r="U74" s="36">
        <v>6.85</v>
      </c>
      <c r="V74" s="36">
        <v>10.28</v>
      </c>
      <c r="W74" s="36">
        <v>-82.16</v>
      </c>
      <c r="X74" s="36">
        <v>1.97</v>
      </c>
      <c r="Y74" s="36">
        <v>63.08</v>
      </c>
      <c r="Z74" s="36">
        <v>76.98</v>
      </c>
      <c r="AA74" s="36">
        <v>55.36</v>
      </c>
      <c r="AB74" s="51" t="s">
        <v>12</v>
      </c>
      <c r="AC74" s="51" t="s">
        <v>12</v>
      </c>
      <c r="AD74" s="51" t="s">
        <v>12</v>
      </c>
      <c r="AE74" s="36"/>
      <c r="AF74" s="36"/>
      <c r="AG74" s="36"/>
      <c r="AH74" s="36"/>
      <c r="AI74" s="36"/>
      <c r="AJ74" s="36"/>
      <c r="AK74" s="36"/>
      <c r="AL74" s="36"/>
      <c r="AM74" s="36"/>
    </row>
    <row r="75" spans="1:39">
      <c r="A75" s="117"/>
      <c r="B75" s="119"/>
      <c r="C75" s="19" t="s">
        <v>27</v>
      </c>
      <c r="D75" s="41">
        <f t="shared" si="2"/>
        <v>45139</v>
      </c>
      <c r="E75" s="38">
        <v>274.14999999999998</v>
      </c>
      <c r="F75" s="38">
        <v>518.71</v>
      </c>
      <c r="G75" s="38">
        <v>453.28</v>
      </c>
      <c r="H75" s="38">
        <v>680.59</v>
      </c>
      <c r="I75" s="38">
        <v>533.9</v>
      </c>
      <c r="J75" s="38">
        <v>848.96</v>
      </c>
      <c r="K75" s="38">
        <v>-68.14</v>
      </c>
      <c r="L75" s="38">
        <v>-114.48</v>
      </c>
      <c r="M75" s="38">
        <v>458.37</v>
      </c>
      <c r="N75" s="38">
        <v>690.15</v>
      </c>
      <c r="O75" s="38">
        <v>162.13999999999999</v>
      </c>
      <c r="P75" s="38">
        <v>210.6</v>
      </c>
      <c r="Q75" s="38">
        <v>538.29</v>
      </c>
      <c r="R75" s="38">
        <v>855.15</v>
      </c>
      <c r="S75" s="38">
        <v>69.78</v>
      </c>
      <c r="T75" s="38">
        <v>76.58</v>
      </c>
      <c r="U75" s="38">
        <v>7.23</v>
      </c>
      <c r="V75" s="38">
        <v>10.02</v>
      </c>
      <c r="W75" s="38">
        <v>-81.45</v>
      </c>
      <c r="X75" s="38">
        <v>1.67</v>
      </c>
      <c r="Y75" s="38">
        <v>59.12</v>
      </c>
      <c r="Z75" s="38">
        <v>50.03</v>
      </c>
      <c r="AA75" s="38">
        <v>35.75</v>
      </c>
      <c r="AB75" s="50">
        <v>3.3940000000000001</v>
      </c>
      <c r="AC75" s="50">
        <v>0.38200000000000001</v>
      </c>
      <c r="AD75" s="50">
        <v>-1.8553999999999999</v>
      </c>
      <c r="AE75" s="38"/>
      <c r="AF75" s="38"/>
      <c r="AG75" s="38"/>
      <c r="AH75" s="38"/>
      <c r="AI75" s="38"/>
      <c r="AJ75" s="38"/>
      <c r="AK75" s="38"/>
      <c r="AL75" s="38"/>
      <c r="AM75" s="38"/>
    </row>
    <row r="76" spans="1:39">
      <c r="A76" s="117"/>
      <c r="B76" s="120"/>
      <c r="C76" s="21" t="s">
        <v>28</v>
      </c>
      <c r="D76" s="41">
        <f t="shared" si="2"/>
        <v>45139</v>
      </c>
      <c r="E76" s="37">
        <v>283.20999999999998</v>
      </c>
      <c r="F76" s="37">
        <v>533.29</v>
      </c>
      <c r="G76" s="37">
        <v>453.73</v>
      </c>
      <c r="H76" s="37">
        <v>681.25</v>
      </c>
      <c r="I76" s="37">
        <v>538.89</v>
      </c>
      <c r="J76" s="37">
        <v>859.62</v>
      </c>
      <c r="K76" s="37">
        <v>-65.19</v>
      </c>
      <c r="L76" s="37">
        <v>-116.54</v>
      </c>
      <c r="M76" s="37">
        <v>458.39</v>
      </c>
      <c r="N76" s="37">
        <v>691.15</v>
      </c>
      <c r="O76" s="37">
        <v>160.91</v>
      </c>
      <c r="P76" s="37">
        <v>216.51</v>
      </c>
      <c r="Q76" s="37">
        <v>542.94000000000005</v>
      </c>
      <c r="R76" s="37">
        <v>866.01</v>
      </c>
      <c r="S76" s="37">
        <v>70.06</v>
      </c>
      <c r="T76" s="37">
        <v>76.98</v>
      </c>
      <c r="U76" s="37">
        <v>6.88</v>
      </c>
      <c r="V76" s="37">
        <v>9.74</v>
      </c>
      <c r="W76" s="37">
        <v>-81.819999999999993</v>
      </c>
      <c r="X76" s="37">
        <v>1.62</v>
      </c>
      <c r="Y76" s="37">
        <v>58.29</v>
      </c>
      <c r="Z76" s="37">
        <v>58.58</v>
      </c>
      <c r="AA76" s="37">
        <v>34.729999999999997</v>
      </c>
      <c r="AB76" s="51" t="s">
        <v>12</v>
      </c>
      <c r="AC76" s="51" t="s">
        <v>12</v>
      </c>
      <c r="AD76" s="51" t="s">
        <v>12</v>
      </c>
      <c r="AE76" s="37"/>
      <c r="AF76" s="37"/>
      <c r="AG76" s="37"/>
      <c r="AH76" s="37"/>
      <c r="AI76" s="37"/>
      <c r="AJ76" s="37"/>
      <c r="AK76" s="37"/>
      <c r="AL76" s="37"/>
      <c r="AM76" s="37"/>
    </row>
    <row r="77" spans="1:39">
      <c r="A77" s="117"/>
      <c r="B77" s="118">
        <v>6</v>
      </c>
      <c r="C77" s="2" t="s">
        <v>16</v>
      </c>
      <c r="D77" s="41">
        <f>D63+11111+139</f>
        <v>56389</v>
      </c>
      <c r="E77" s="25">
        <v>264.64</v>
      </c>
      <c r="F77" s="25">
        <v>498.07</v>
      </c>
      <c r="G77" s="25">
        <v>457.62</v>
      </c>
      <c r="H77" s="25">
        <v>672.75</v>
      </c>
      <c r="I77" s="25">
        <v>533.28</v>
      </c>
      <c r="J77" s="25">
        <v>832.22</v>
      </c>
      <c r="K77" s="25">
        <v>-59.23</v>
      </c>
      <c r="L77" s="25">
        <v>-101.48</v>
      </c>
      <c r="M77" s="25">
        <v>461.44</v>
      </c>
      <c r="N77" s="25">
        <v>680.36</v>
      </c>
      <c r="O77" s="25">
        <v>174.2</v>
      </c>
      <c r="P77" s="25">
        <v>219</v>
      </c>
      <c r="Q77" s="25">
        <v>536.64</v>
      </c>
      <c r="R77" s="25">
        <v>837.69</v>
      </c>
      <c r="S77" s="25">
        <v>68.37</v>
      </c>
      <c r="T77" s="25">
        <v>75.34</v>
      </c>
      <c r="U77" s="25">
        <v>6.2</v>
      </c>
      <c r="V77" s="25">
        <v>8.4600000000000009</v>
      </c>
      <c r="W77" s="25">
        <v>-82.63</v>
      </c>
      <c r="X77" s="25">
        <v>1.74</v>
      </c>
      <c r="Y77" s="25">
        <v>60.17</v>
      </c>
      <c r="Z77" s="25">
        <v>52.38</v>
      </c>
      <c r="AA77" s="25">
        <v>36.24</v>
      </c>
      <c r="AB77" s="51" t="s">
        <v>12</v>
      </c>
      <c r="AC77" s="51" t="s">
        <v>12</v>
      </c>
      <c r="AD77" s="51" t="s">
        <v>12</v>
      </c>
      <c r="AE77" s="25"/>
      <c r="AF77" s="25"/>
      <c r="AG77" s="25"/>
      <c r="AH77" s="25"/>
      <c r="AI77" s="25"/>
      <c r="AJ77" s="25"/>
      <c r="AK77" s="25"/>
      <c r="AL77" s="25"/>
      <c r="AM77" s="25"/>
    </row>
    <row r="78" spans="1:39">
      <c r="A78" s="117"/>
      <c r="B78" s="119"/>
      <c r="C78" s="1" t="s">
        <v>15</v>
      </c>
      <c r="D78" s="41">
        <f t="shared" ref="D78:D90" si="3">D64+11111+139</f>
        <v>56389</v>
      </c>
      <c r="E78" s="26">
        <v>267.47000000000003</v>
      </c>
      <c r="F78" s="26">
        <v>504.14</v>
      </c>
      <c r="G78" s="26">
        <v>474.47</v>
      </c>
      <c r="H78" s="26">
        <v>697.31</v>
      </c>
      <c r="I78" s="26">
        <v>549.19000000000005</v>
      </c>
      <c r="J78" s="26">
        <v>858.8</v>
      </c>
      <c r="K78" s="26">
        <v>-66.33</v>
      </c>
      <c r="L78" s="26">
        <v>-115.87</v>
      </c>
      <c r="M78" s="26">
        <v>479.08</v>
      </c>
      <c r="N78" s="26">
        <v>706.87</v>
      </c>
      <c r="O78" s="26">
        <v>179.71</v>
      </c>
      <c r="P78" s="26">
        <v>230.72</v>
      </c>
      <c r="Q78" s="26">
        <v>553.29999999999995</v>
      </c>
      <c r="R78" s="26">
        <v>863.66</v>
      </c>
      <c r="S78" s="26">
        <v>68.569999999999993</v>
      </c>
      <c r="T78" s="26">
        <v>75.459999999999994</v>
      </c>
      <c r="U78" s="26">
        <v>6.86</v>
      </c>
      <c r="V78" s="26">
        <v>9.31</v>
      </c>
      <c r="W78" s="26">
        <v>-82.04</v>
      </c>
      <c r="X78" s="26">
        <v>1.79</v>
      </c>
      <c r="Y78" s="26">
        <v>60.83</v>
      </c>
      <c r="Z78" s="26">
        <v>69.319999999999993</v>
      </c>
      <c r="AA78" s="26">
        <v>38.96</v>
      </c>
      <c r="AB78" s="51" t="s">
        <v>12</v>
      </c>
      <c r="AC78" s="51" t="s">
        <v>12</v>
      </c>
      <c r="AD78" s="51" t="s">
        <v>12</v>
      </c>
      <c r="AE78" s="26"/>
      <c r="AF78" s="26"/>
      <c r="AG78" s="26"/>
      <c r="AH78" s="26"/>
      <c r="AI78" s="26"/>
      <c r="AJ78" s="26"/>
      <c r="AK78" s="26"/>
      <c r="AL78" s="26"/>
      <c r="AM78" s="26"/>
    </row>
    <row r="79" spans="1:39">
      <c r="A79" s="117"/>
      <c r="B79" s="119"/>
      <c r="C79" s="5" t="s">
        <v>14</v>
      </c>
      <c r="D79" s="41">
        <f t="shared" si="3"/>
        <v>56389</v>
      </c>
      <c r="E79" s="27">
        <v>262.58999999999997</v>
      </c>
      <c r="F79" s="27">
        <v>495.42</v>
      </c>
      <c r="G79" s="27">
        <v>409.55</v>
      </c>
      <c r="H79" s="27">
        <v>612.79</v>
      </c>
      <c r="I79" s="27">
        <v>490.53</v>
      </c>
      <c r="J79" s="27">
        <v>782.12</v>
      </c>
      <c r="K79" s="27">
        <v>-58.19</v>
      </c>
      <c r="L79" s="27">
        <v>-98.06</v>
      </c>
      <c r="M79" s="27">
        <v>413.66</v>
      </c>
      <c r="N79" s="27">
        <v>620.59</v>
      </c>
      <c r="O79" s="27">
        <v>143.66</v>
      </c>
      <c r="P79" s="27">
        <v>182.54</v>
      </c>
      <c r="Q79" s="27">
        <v>494.03</v>
      </c>
      <c r="R79" s="27">
        <v>786.43</v>
      </c>
      <c r="S79" s="27">
        <v>70.36</v>
      </c>
      <c r="T79" s="27">
        <v>76.92</v>
      </c>
      <c r="U79" s="27">
        <v>6.74</v>
      </c>
      <c r="V79" s="27">
        <v>9.69</v>
      </c>
      <c r="W79" s="27">
        <v>-81.91</v>
      </c>
      <c r="X79" s="27">
        <v>1.58</v>
      </c>
      <c r="Y79" s="27">
        <v>57.59</v>
      </c>
      <c r="Z79" s="27">
        <v>46.26</v>
      </c>
      <c r="AA79" s="27">
        <v>29.12</v>
      </c>
      <c r="AB79" s="44">
        <v>3.2280000000000002</v>
      </c>
      <c r="AC79" s="44">
        <v>0.41599999999999998</v>
      </c>
      <c r="AD79" s="44">
        <v>-1.7014</v>
      </c>
      <c r="AE79" s="27"/>
      <c r="AF79" s="27"/>
      <c r="AG79" s="27"/>
      <c r="AH79" s="27"/>
      <c r="AI79" s="27"/>
      <c r="AJ79" s="27"/>
      <c r="AK79" s="27"/>
      <c r="AL79" s="27"/>
      <c r="AM79" s="27"/>
    </row>
    <row r="80" spans="1:39">
      <c r="A80" s="117"/>
      <c r="B80" s="119"/>
      <c r="C80" s="12" t="s">
        <v>11</v>
      </c>
      <c r="D80" s="41">
        <f t="shared" si="3"/>
        <v>56389</v>
      </c>
      <c r="E80" s="28">
        <v>264.70999999999998</v>
      </c>
      <c r="F80" s="28">
        <v>497.1</v>
      </c>
      <c r="G80" s="28">
        <v>419.74</v>
      </c>
      <c r="H80" s="28">
        <v>630.70000000000005</v>
      </c>
      <c r="I80" s="28">
        <v>500.12</v>
      </c>
      <c r="J80" s="28">
        <v>796.9</v>
      </c>
      <c r="K80" s="28">
        <v>-64.459999999999994</v>
      </c>
      <c r="L80" s="28">
        <v>-106.16</v>
      </c>
      <c r="M80" s="28">
        <v>424.66</v>
      </c>
      <c r="N80" s="28">
        <v>639.57000000000005</v>
      </c>
      <c r="O80" s="28">
        <v>145.53</v>
      </c>
      <c r="P80" s="28">
        <v>190.06</v>
      </c>
      <c r="Q80" s="28">
        <v>504.31</v>
      </c>
      <c r="R80" s="28">
        <v>802.24</v>
      </c>
      <c r="S80" s="28">
        <v>70.510000000000005</v>
      </c>
      <c r="T80" s="28">
        <v>77.39</v>
      </c>
      <c r="U80" s="28">
        <v>7.27</v>
      </c>
      <c r="V80" s="28">
        <v>9.66</v>
      </c>
      <c r="W80" s="28">
        <v>-81.27</v>
      </c>
      <c r="X80" s="28">
        <v>1.6</v>
      </c>
      <c r="Y80" s="28">
        <v>58.06</v>
      </c>
      <c r="Z80" s="28">
        <v>65.709999999999994</v>
      </c>
      <c r="AA80" s="28">
        <v>30.88</v>
      </c>
      <c r="AB80" s="51" t="s">
        <v>12</v>
      </c>
      <c r="AC80" s="51" t="s">
        <v>12</v>
      </c>
      <c r="AD80" s="51" t="s">
        <v>12</v>
      </c>
      <c r="AE80" s="28"/>
      <c r="AF80" s="28"/>
      <c r="AG80" s="28"/>
      <c r="AH80" s="28"/>
      <c r="AI80" s="28"/>
      <c r="AJ80" s="28"/>
      <c r="AK80" s="28"/>
      <c r="AL80" s="28"/>
      <c r="AM80" s="28"/>
    </row>
    <row r="81" spans="1:39">
      <c r="A81" s="117"/>
      <c r="B81" s="119"/>
      <c r="C81" s="3" t="s">
        <v>8</v>
      </c>
      <c r="D81" s="41">
        <f t="shared" si="3"/>
        <v>56389</v>
      </c>
      <c r="E81" s="29">
        <v>260.70999999999998</v>
      </c>
      <c r="F81" s="29">
        <v>511.87</v>
      </c>
      <c r="G81" s="29">
        <v>489.02</v>
      </c>
      <c r="H81" s="29">
        <v>780.66</v>
      </c>
      <c r="I81" s="29">
        <v>560.24</v>
      </c>
      <c r="J81" s="29">
        <v>932.51</v>
      </c>
      <c r="K81" s="29">
        <v>-71.36</v>
      </c>
      <c r="L81" s="29">
        <v>-125.21</v>
      </c>
      <c r="M81" s="29">
        <v>494.2</v>
      </c>
      <c r="N81" s="29">
        <v>790.64</v>
      </c>
      <c r="O81" s="29">
        <v>188.35</v>
      </c>
      <c r="P81" s="29">
        <v>289.41000000000003</v>
      </c>
      <c r="Q81" s="29">
        <v>564.9</v>
      </c>
      <c r="R81" s="29">
        <v>937.43</v>
      </c>
      <c r="S81" s="29">
        <v>67.930000000000007</v>
      </c>
      <c r="T81" s="29">
        <v>74.87</v>
      </c>
      <c r="U81" s="29">
        <v>7.35</v>
      </c>
      <c r="V81" s="29">
        <v>11.11</v>
      </c>
      <c r="W81" s="29">
        <v>-81.7</v>
      </c>
      <c r="X81" s="29">
        <v>1.9</v>
      </c>
      <c r="Y81" s="29">
        <v>62.19</v>
      </c>
      <c r="Z81" s="29">
        <v>144.97</v>
      </c>
      <c r="AA81" s="29">
        <v>52.82</v>
      </c>
      <c r="AB81" s="51" t="s">
        <v>12</v>
      </c>
      <c r="AC81" s="51" t="s">
        <v>12</v>
      </c>
      <c r="AD81" s="51" t="s">
        <v>12</v>
      </c>
      <c r="AE81" s="29"/>
      <c r="AF81" s="29"/>
      <c r="AG81" s="29"/>
      <c r="AH81" s="29"/>
      <c r="AI81" s="29"/>
      <c r="AJ81" s="29"/>
      <c r="AK81" s="29"/>
      <c r="AL81" s="29"/>
      <c r="AM81" s="29"/>
    </row>
    <row r="82" spans="1:39">
      <c r="A82" s="117"/>
      <c r="B82" s="119"/>
      <c r="C82" s="9" t="s">
        <v>7</v>
      </c>
      <c r="D82" s="41">
        <f t="shared" si="3"/>
        <v>56389</v>
      </c>
      <c r="E82" s="30">
        <v>288.52999999999997</v>
      </c>
      <c r="F82" s="30">
        <v>568.91</v>
      </c>
      <c r="G82" s="30">
        <v>524.91999999999996</v>
      </c>
      <c r="H82" s="30">
        <v>784.76</v>
      </c>
      <c r="I82" s="30">
        <v>605.01</v>
      </c>
      <c r="J82" s="30">
        <v>966.26</v>
      </c>
      <c r="K82" s="30">
        <v>-99.63</v>
      </c>
      <c r="L82" s="30">
        <v>-166.47</v>
      </c>
      <c r="M82" s="30">
        <v>534.29</v>
      </c>
      <c r="N82" s="30">
        <v>802.22</v>
      </c>
      <c r="O82" s="30">
        <v>183.91</v>
      </c>
      <c r="P82" s="30">
        <v>228.74</v>
      </c>
      <c r="Q82" s="30">
        <v>613.20000000000005</v>
      </c>
      <c r="R82" s="30">
        <v>977.93</v>
      </c>
      <c r="S82" s="30">
        <v>69.72</v>
      </c>
      <c r="T82" s="30">
        <v>77.12</v>
      </c>
      <c r="U82" s="30">
        <v>9.18</v>
      </c>
      <c r="V82" s="30">
        <v>11.68</v>
      </c>
      <c r="W82" s="30">
        <v>-79.25</v>
      </c>
      <c r="X82" s="30">
        <v>1.85</v>
      </c>
      <c r="Y82" s="30">
        <v>61.63</v>
      </c>
      <c r="Z82" s="30">
        <v>68.349999999999994</v>
      </c>
      <c r="AA82" s="30">
        <v>44.81</v>
      </c>
      <c r="AB82" s="46">
        <v>3.6320000000000001</v>
      </c>
      <c r="AC82" s="46">
        <v>0.51600000000000001</v>
      </c>
      <c r="AD82" s="46">
        <v>-2.6219999999999999</v>
      </c>
      <c r="AE82" s="30"/>
      <c r="AF82" s="30"/>
      <c r="AG82" s="30"/>
      <c r="AH82" s="30"/>
      <c r="AI82" s="30"/>
      <c r="AJ82" s="30"/>
      <c r="AK82" s="30"/>
      <c r="AL82" s="30"/>
      <c r="AM82" s="30"/>
    </row>
    <row r="83" spans="1:39">
      <c r="A83" s="117"/>
      <c r="B83" s="119"/>
      <c r="C83" s="7" t="s">
        <v>18</v>
      </c>
      <c r="D83" s="41">
        <f t="shared" si="3"/>
        <v>56389</v>
      </c>
      <c r="E83" s="31">
        <v>273.06</v>
      </c>
      <c r="F83" s="31">
        <v>514.67999999999995</v>
      </c>
      <c r="G83" s="31">
        <v>491.98</v>
      </c>
      <c r="H83" s="31">
        <v>722.33</v>
      </c>
      <c r="I83" s="31">
        <v>567.58000000000004</v>
      </c>
      <c r="J83" s="31">
        <v>880.91</v>
      </c>
      <c r="K83" s="31">
        <v>-66.959999999999994</v>
      </c>
      <c r="L83" s="31">
        <v>-114.88</v>
      </c>
      <c r="M83" s="31">
        <v>496.52</v>
      </c>
      <c r="N83" s="31">
        <v>731.41</v>
      </c>
      <c r="O83" s="31">
        <v>189.02</v>
      </c>
      <c r="P83" s="31">
        <v>241.27</v>
      </c>
      <c r="Q83" s="31">
        <v>571.63</v>
      </c>
      <c r="R83" s="31">
        <v>885.82</v>
      </c>
      <c r="S83" s="31">
        <v>68.150000000000006</v>
      </c>
      <c r="T83" s="31">
        <v>74.650000000000006</v>
      </c>
      <c r="U83" s="31">
        <v>6.7</v>
      </c>
      <c r="V83" s="31">
        <v>9.42</v>
      </c>
      <c r="W83" s="31">
        <v>-82.25</v>
      </c>
      <c r="X83" s="31">
        <v>1.82</v>
      </c>
      <c r="Y83" s="31">
        <v>61.19</v>
      </c>
      <c r="Z83" s="31">
        <v>63.19</v>
      </c>
      <c r="AA83" s="31">
        <v>41.57</v>
      </c>
      <c r="AB83" s="47">
        <v>2.8740000000000001</v>
      </c>
      <c r="AC83" s="47">
        <v>0.51600000000000001</v>
      </c>
      <c r="AD83" s="47">
        <v>-1.5771999999999999</v>
      </c>
      <c r="AE83" s="31"/>
      <c r="AF83" s="31"/>
      <c r="AG83" s="31"/>
      <c r="AH83" s="31"/>
      <c r="AI83" s="31"/>
      <c r="AJ83" s="31"/>
      <c r="AK83" s="31"/>
      <c r="AL83" s="31"/>
      <c r="AM83" s="31"/>
    </row>
    <row r="84" spans="1:39">
      <c r="A84" s="117"/>
      <c r="B84" s="119"/>
      <c r="C84" s="6" t="s">
        <v>19</v>
      </c>
      <c r="D84" s="41">
        <f t="shared" si="3"/>
        <v>56389</v>
      </c>
      <c r="E84" s="32">
        <v>265.33</v>
      </c>
      <c r="F84" s="32">
        <v>510.11</v>
      </c>
      <c r="G84" s="32">
        <v>470.96</v>
      </c>
      <c r="H84" s="32">
        <v>692.86</v>
      </c>
      <c r="I84" s="32">
        <v>546.07000000000005</v>
      </c>
      <c r="J84" s="32">
        <v>856.2</v>
      </c>
      <c r="K84" s="32">
        <v>-59.88</v>
      </c>
      <c r="L84" s="32">
        <v>-101.95</v>
      </c>
      <c r="M84" s="32">
        <v>474.75</v>
      </c>
      <c r="N84" s="32">
        <v>700.32</v>
      </c>
      <c r="O84" s="32">
        <v>182.39</v>
      </c>
      <c r="P84" s="32">
        <v>226.83</v>
      </c>
      <c r="Q84" s="32">
        <v>549.46</v>
      </c>
      <c r="R84" s="32">
        <v>861.51</v>
      </c>
      <c r="S84" s="32">
        <v>68.08</v>
      </c>
      <c r="T84" s="32">
        <v>75.17</v>
      </c>
      <c r="U84" s="32">
        <v>6.48</v>
      </c>
      <c r="V84" s="32">
        <v>11.25</v>
      </c>
      <c r="W84" s="32">
        <v>-82.75</v>
      </c>
      <c r="X84" s="32">
        <v>1.79</v>
      </c>
      <c r="Y84" s="32">
        <v>60.8</v>
      </c>
      <c r="Z84" s="32">
        <v>82.21</v>
      </c>
      <c r="AA84" s="32">
        <v>59.79</v>
      </c>
      <c r="AB84" s="51" t="s">
        <v>12</v>
      </c>
      <c r="AC84" s="51" t="s">
        <v>12</v>
      </c>
      <c r="AD84" s="51" t="s">
        <v>12</v>
      </c>
      <c r="AE84" s="32"/>
      <c r="AF84" s="32"/>
      <c r="AG84" s="32"/>
      <c r="AH84" s="32"/>
      <c r="AI84" s="32"/>
      <c r="AJ84" s="32"/>
      <c r="AK84" s="32"/>
      <c r="AL84" s="32"/>
      <c r="AM84" s="32"/>
    </row>
    <row r="85" spans="1:39">
      <c r="A85" s="117"/>
      <c r="B85" s="119"/>
      <c r="C85" s="4" t="s">
        <v>23</v>
      </c>
      <c r="D85" s="41">
        <f t="shared" si="3"/>
        <v>56389</v>
      </c>
      <c r="E85" s="33">
        <v>277.76</v>
      </c>
      <c r="F85" s="33">
        <v>524.32000000000005</v>
      </c>
      <c r="G85" s="33">
        <v>459.61</v>
      </c>
      <c r="H85" s="33">
        <v>681.43</v>
      </c>
      <c r="I85" s="33">
        <v>542.09</v>
      </c>
      <c r="J85" s="33">
        <v>855.43</v>
      </c>
      <c r="K85" s="33">
        <v>-61.07</v>
      </c>
      <c r="L85" s="33">
        <v>-103.26</v>
      </c>
      <c r="M85" s="33">
        <v>463.65</v>
      </c>
      <c r="N85" s="33">
        <v>689.21</v>
      </c>
      <c r="O85" s="33">
        <v>169.81</v>
      </c>
      <c r="P85" s="33">
        <v>215.71</v>
      </c>
      <c r="Q85" s="33">
        <v>545.59</v>
      </c>
      <c r="R85" s="33">
        <v>859.92</v>
      </c>
      <c r="S85" s="33">
        <v>69.260000000000005</v>
      </c>
      <c r="T85" s="33">
        <v>76.19</v>
      </c>
      <c r="U85" s="33">
        <v>6.52</v>
      </c>
      <c r="V85" s="33">
        <v>9.84</v>
      </c>
      <c r="W85" s="33">
        <v>-82.43</v>
      </c>
      <c r="X85" s="33">
        <v>1.68</v>
      </c>
      <c r="Y85" s="33">
        <v>59.08</v>
      </c>
      <c r="Z85" s="33">
        <v>59.89</v>
      </c>
      <c r="AA85" s="33">
        <v>49.91</v>
      </c>
      <c r="AB85" s="51" t="s">
        <v>12</v>
      </c>
      <c r="AC85" s="51" t="s">
        <v>12</v>
      </c>
      <c r="AD85" s="51" t="s">
        <v>12</v>
      </c>
      <c r="AE85" s="33"/>
      <c r="AF85" s="33"/>
      <c r="AG85" s="33"/>
      <c r="AH85" s="33"/>
      <c r="AI85" s="33"/>
      <c r="AJ85" s="33"/>
      <c r="AK85" s="33"/>
      <c r="AL85" s="33"/>
      <c r="AM85" s="33"/>
    </row>
    <row r="86" spans="1:39">
      <c r="A86" s="117"/>
      <c r="B86" s="119"/>
      <c r="C86" s="10" t="s">
        <v>24</v>
      </c>
      <c r="D86" s="41">
        <f t="shared" si="3"/>
        <v>56389</v>
      </c>
      <c r="E86" s="34">
        <v>265.37</v>
      </c>
      <c r="F86" s="34">
        <v>522.19000000000005</v>
      </c>
      <c r="G86" s="34">
        <v>501.82</v>
      </c>
      <c r="H86" s="34">
        <v>760.99</v>
      </c>
      <c r="I86" s="34">
        <v>573.58000000000004</v>
      </c>
      <c r="J86" s="34">
        <v>921.33</v>
      </c>
      <c r="K86" s="34">
        <v>-69.41</v>
      </c>
      <c r="L86" s="34">
        <v>-133.88999999999999</v>
      </c>
      <c r="M86" s="34">
        <v>506.6</v>
      </c>
      <c r="N86" s="34">
        <v>772.68</v>
      </c>
      <c r="O86" s="34">
        <v>196.56</v>
      </c>
      <c r="P86" s="34">
        <v>257.29000000000002</v>
      </c>
      <c r="Q86" s="34">
        <v>577.9</v>
      </c>
      <c r="R86" s="34">
        <v>929.22</v>
      </c>
      <c r="S86" s="34">
        <v>67.53</v>
      </c>
      <c r="T86" s="34">
        <v>74.63</v>
      </c>
      <c r="U86" s="34">
        <v>6.94</v>
      </c>
      <c r="V86" s="34">
        <v>10.89</v>
      </c>
      <c r="W86" s="34">
        <v>-82.13</v>
      </c>
      <c r="X86" s="34">
        <v>1.91</v>
      </c>
      <c r="Y86" s="34">
        <v>62.35</v>
      </c>
      <c r="Z86" s="34">
        <v>86.17</v>
      </c>
      <c r="AA86" s="34">
        <v>61.45</v>
      </c>
      <c r="AB86" s="51" t="s">
        <v>12</v>
      </c>
      <c r="AC86" s="51" t="s">
        <v>12</v>
      </c>
      <c r="AD86" s="51" t="s">
        <v>12</v>
      </c>
      <c r="AE86" s="34"/>
      <c r="AF86" s="34"/>
      <c r="AG86" s="34"/>
      <c r="AH86" s="34"/>
      <c r="AI86" s="34"/>
      <c r="AJ86" s="34"/>
      <c r="AK86" s="34"/>
      <c r="AL86" s="34"/>
      <c r="AM86" s="34"/>
    </row>
    <row r="87" spans="1:39">
      <c r="A87" s="117"/>
      <c r="B87" s="119"/>
      <c r="C87" s="11" t="s">
        <v>25</v>
      </c>
      <c r="D87" s="41">
        <f t="shared" si="3"/>
        <v>56389</v>
      </c>
      <c r="E87" s="35">
        <v>249.76</v>
      </c>
      <c r="F87" s="35">
        <v>497.09</v>
      </c>
      <c r="G87" s="35">
        <v>534.55999999999995</v>
      </c>
      <c r="H87" s="35">
        <v>744.44</v>
      </c>
      <c r="I87" s="35">
        <v>598.27</v>
      </c>
      <c r="J87" s="35">
        <v>890.76</v>
      </c>
      <c r="K87" s="35">
        <v>-66.37</v>
      </c>
      <c r="L87" s="35">
        <v>-107.85</v>
      </c>
      <c r="M87" s="35">
        <v>538.66</v>
      </c>
      <c r="N87" s="35">
        <v>752.21</v>
      </c>
      <c r="O87" s="35">
        <v>255.67</v>
      </c>
      <c r="P87" s="35">
        <v>275.54000000000002</v>
      </c>
      <c r="Q87" s="35">
        <v>602.03</v>
      </c>
      <c r="R87" s="35">
        <v>896.36</v>
      </c>
      <c r="S87" s="35">
        <v>65.010000000000005</v>
      </c>
      <c r="T87" s="35">
        <v>73.569999999999993</v>
      </c>
      <c r="U87" s="35">
        <v>5.9</v>
      </c>
      <c r="V87" s="35">
        <v>8.92</v>
      </c>
      <c r="W87" s="35">
        <v>-82.92</v>
      </c>
      <c r="X87" s="35">
        <v>2.16</v>
      </c>
      <c r="Y87" s="35">
        <v>65.12</v>
      </c>
      <c r="Z87" s="35">
        <v>118.51</v>
      </c>
      <c r="AA87" s="35">
        <v>69.56</v>
      </c>
      <c r="AB87" s="51" t="s">
        <v>12</v>
      </c>
      <c r="AC87" s="51" t="s">
        <v>12</v>
      </c>
      <c r="AD87" s="51" t="s">
        <v>12</v>
      </c>
      <c r="AE87" s="35"/>
      <c r="AF87" s="35"/>
      <c r="AG87" s="35"/>
      <c r="AH87" s="35"/>
      <c r="AI87" s="35"/>
      <c r="AJ87" s="35"/>
      <c r="AK87" s="35"/>
      <c r="AL87" s="35"/>
      <c r="AM87" s="35"/>
    </row>
    <row r="88" spans="1:39">
      <c r="A88" s="117"/>
      <c r="B88" s="119"/>
      <c r="C88" s="8" t="s">
        <v>26</v>
      </c>
      <c r="D88" s="41">
        <f t="shared" si="3"/>
        <v>56389</v>
      </c>
      <c r="E88" s="36">
        <v>255.85</v>
      </c>
      <c r="F88" s="36">
        <v>576.16999999999996</v>
      </c>
      <c r="G88" s="36">
        <v>892.98</v>
      </c>
      <c r="H88" s="36">
        <v>1297.3499999999999</v>
      </c>
      <c r="I88" s="36">
        <v>938.57</v>
      </c>
      <c r="J88" s="36">
        <v>1407.26</v>
      </c>
      <c r="K88" s="36">
        <v>-134.55000000000001</v>
      </c>
      <c r="L88" s="36">
        <v>-224.62</v>
      </c>
      <c r="M88" s="36">
        <v>903.06</v>
      </c>
      <c r="N88" s="36">
        <v>1316.65</v>
      </c>
      <c r="O88" s="36">
        <v>416.44</v>
      </c>
      <c r="P88" s="36">
        <v>560.44000000000005</v>
      </c>
      <c r="Q88" s="36">
        <v>948.61</v>
      </c>
      <c r="R88" s="36">
        <v>1420.66</v>
      </c>
      <c r="S88" s="36">
        <v>61.87</v>
      </c>
      <c r="T88" s="36">
        <v>69.39</v>
      </c>
      <c r="U88" s="36">
        <v>7.5</v>
      </c>
      <c r="V88" s="36">
        <v>11.81</v>
      </c>
      <c r="W88" s="36">
        <v>-81.430000000000007</v>
      </c>
      <c r="X88" s="36">
        <v>3.53</v>
      </c>
      <c r="Y88" s="36">
        <v>74.180000000000007</v>
      </c>
      <c r="Z88" s="36">
        <v>545.87</v>
      </c>
      <c r="AA88" s="36">
        <v>101.56</v>
      </c>
      <c r="AB88" s="51" t="s">
        <v>12</v>
      </c>
      <c r="AC88" s="51" t="s">
        <v>12</v>
      </c>
      <c r="AD88" s="51" t="s">
        <v>12</v>
      </c>
      <c r="AE88" s="36"/>
      <c r="AF88" s="36"/>
      <c r="AG88" s="36"/>
      <c r="AH88" s="36"/>
      <c r="AI88" s="36"/>
      <c r="AJ88" s="36"/>
      <c r="AK88" s="36"/>
      <c r="AL88" s="36"/>
      <c r="AM88" s="36"/>
    </row>
    <row r="89" spans="1:39">
      <c r="A89" s="117"/>
      <c r="B89" s="119"/>
      <c r="C89" s="19" t="s">
        <v>27</v>
      </c>
      <c r="D89" s="41">
        <f t="shared" si="3"/>
        <v>56389</v>
      </c>
      <c r="E89" s="38">
        <v>291.86</v>
      </c>
      <c r="F89" s="38">
        <v>566.45000000000005</v>
      </c>
      <c r="G89" s="38">
        <v>507.07</v>
      </c>
      <c r="H89" s="38">
        <v>765.02</v>
      </c>
      <c r="I89" s="38">
        <v>590.48</v>
      </c>
      <c r="J89" s="38">
        <v>947.17</v>
      </c>
      <c r="K89" s="38">
        <v>-89.9</v>
      </c>
      <c r="L89" s="38">
        <v>-151.94999999999999</v>
      </c>
      <c r="M89" s="38">
        <v>514.98</v>
      </c>
      <c r="N89" s="38">
        <v>779.96</v>
      </c>
      <c r="O89" s="38">
        <v>177.37</v>
      </c>
      <c r="P89" s="38">
        <v>229.38</v>
      </c>
      <c r="Q89" s="38">
        <v>597.34</v>
      </c>
      <c r="R89" s="38">
        <v>957.36</v>
      </c>
      <c r="S89" s="38">
        <v>69.709999999999994</v>
      </c>
      <c r="T89" s="38">
        <v>77.56</v>
      </c>
      <c r="U89" s="38">
        <v>8.42</v>
      </c>
      <c r="V89" s="38">
        <v>11.52</v>
      </c>
      <c r="W89" s="38">
        <v>-79.95</v>
      </c>
      <c r="X89" s="38">
        <v>1.76</v>
      </c>
      <c r="Y89" s="38">
        <v>60.46</v>
      </c>
      <c r="Z89" s="38">
        <v>60.6</v>
      </c>
      <c r="AA89" s="38">
        <v>36.229999999999997</v>
      </c>
      <c r="AB89" s="51" t="s">
        <v>12</v>
      </c>
      <c r="AC89" s="51" t="s">
        <v>12</v>
      </c>
      <c r="AD89" s="51" t="s">
        <v>12</v>
      </c>
      <c r="AE89" s="38"/>
      <c r="AF89" s="38"/>
      <c r="AG89" s="38"/>
      <c r="AH89" s="38"/>
      <c r="AI89" s="38"/>
      <c r="AJ89" s="38"/>
      <c r="AK89" s="38"/>
      <c r="AL89" s="38"/>
      <c r="AM89" s="38"/>
    </row>
    <row r="90" spans="1:39">
      <c r="A90" s="117"/>
      <c r="B90" s="120"/>
      <c r="C90" s="21" t="s">
        <v>28</v>
      </c>
      <c r="D90" s="41">
        <f t="shared" si="3"/>
        <v>56389</v>
      </c>
      <c r="E90" s="37">
        <v>293.22000000000003</v>
      </c>
      <c r="F90" s="37">
        <v>575.67999999999995</v>
      </c>
      <c r="G90" s="37">
        <v>494.11</v>
      </c>
      <c r="H90" s="37">
        <v>749.58</v>
      </c>
      <c r="I90" s="37">
        <v>579.88</v>
      </c>
      <c r="J90" s="37">
        <v>938.77</v>
      </c>
      <c r="K90" s="37">
        <v>-94.33</v>
      </c>
      <c r="L90" s="37">
        <v>-160.4</v>
      </c>
      <c r="M90" s="37">
        <v>503.03</v>
      </c>
      <c r="N90" s="37">
        <v>766.55</v>
      </c>
      <c r="O90" s="37">
        <v>165.35</v>
      </c>
      <c r="P90" s="37">
        <v>208.65</v>
      </c>
      <c r="Q90" s="37">
        <v>587.53</v>
      </c>
      <c r="R90" s="37">
        <v>950.16</v>
      </c>
      <c r="S90" s="37">
        <v>70.78</v>
      </c>
      <c r="T90" s="37">
        <v>78.14</v>
      </c>
      <c r="U90" s="37">
        <v>9.1999999999999993</v>
      </c>
      <c r="V90" s="37">
        <v>11.38</v>
      </c>
      <c r="W90" s="37">
        <v>-79.19</v>
      </c>
      <c r="X90" s="37">
        <v>1.72</v>
      </c>
      <c r="Y90" s="37">
        <v>59.76</v>
      </c>
      <c r="Z90" s="37">
        <v>61.44</v>
      </c>
      <c r="AA90" s="37">
        <v>37.46</v>
      </c>
      <c r="AB90" s="51" t="s">
        <v>12</v>
      </c>
      <c r="AC90" s="51" t="s">
        <v>12</v>
      </c>
      <c r="AD90" s="51" t="s">
        <v>12</v>
      </c>
      <c r="AE90" s="37"/>
      <c r="AF90" s="37"/>
      <c r="AG90" s="37"/>
      <c r="AH90" s="37"/>
      <c r="AI90" s="37"/>
      <c r="AJ90" s="37"/>
      <c r="AK90" s="37"/>
      <c r="AL90" s="37"/>
      <c r="AM90" s="37"/>
    </row>
    <row r="91" spans="1:39">
      <c r="A91" s="117"/>
      <c r="B91" s="118">
        <v>7</v>
      </c>
      <c r="C91" s="2" t="s">
        <v>16</v>
      </c>
      <c r="D91" s="41">
        <f>D77+11111+139</f>
        <v>67639</v>
      </c>
      <c r="E91" s="25">
        <v>264.25</v>
      </c>
      <c r="F91" s="25">
        <v>502.99</v>
      </c>
      <c r="G91" s="25">
        <v>474.16</v>
      </c>
      <c r="H91" s="25">
        <v>692.84</v>
      </c>
      <c r="I91" s="25">
        <v>548.04</v>
      </c>
      <c r="J91" s="25">
        <v>851.68</v>
      </c>
      <c r="K91" s="25">
        <v>-62.96</v>
      </c>
      <c r="L91" s="25">
        <v>-106.6</v>
      </c>
      <c r="M91" s="25">
        <v>478.32</v>
      </c>
      <c r="N91" s="25">
        <v>700.99</v>
      </c>
      <c r="O91" s="25">
        <v>182.85</v>
      </c>
      <c r="P91" s="25">
        <v>226.85</v>
      </c>
      <c r="Q91" s="25">
        <v>551.72</v>
      </c>
      <c r="R91" s="25">
        <v>856.31</v>
      </c>
      <c r="S91" s="25">
        <v>68.03</v>
      </c>
      <c r="T91" s="25">
        <v>75.08</v>
      </c>
      <c r="U91" s="25">
        <v>6.47</v>
      </c>
      <c r="V91" s="25">
        <v>8.9700000000000006</v>
      </c>
      <c r="W91" s="25">
        <v>-82.44</v>
      </c>
      <c r="X91" s="25">
        <v>1.81</v>
      </c>
      <c r="Y91" s="25">
        <v>61.08</v>
      </c>
      <c r="Z91" s="25">
        <v>54.11</v>
      </c>
      <c r="AA91" s="25">
        <v>39</v>
      </c>
      <c r="AB91" s="51" t="s">
        <v>12</v>
      </c>
      <c r="AC91" s="51" t="s">
        <v>12</v>
      </c>
      <c r="AD91" s="51" t="s">
        <v>12</v>
      </c>
      <c r="AE91" s="25"/>
      <c r="AF91" s="25"/>
      <c r="AG91" s="25"/>
      <c r="AH91" s="25"/>
      <c r="AI91" s="25"/>
      <c r="AJ91" s="25"/>
      <c r="AK91" s="25"/>
      <c r="AL91" s="25"/>
      <c r="AM91" s="25"/>
    </row>
    <row r="92" spans="1:39">
      <c r="A92" s="117"/>
      <c r="B92" s="119"/>
      <c r="C92" s="1" t="s">
        <v>15</v>
      </c>
      <c r="D92" s="41">
        <f t="shared" ref="D92:D104" si="4">D78+11111+139</f>
        <v>67639</v>
      </c>
      <c r="E92" s="26">
        <v>267.68</v>
      </c>
      <c r="F92" s="26">
        <v>503.49</v>
      </c>
      <c r="G92" s="26">
        <v>487.82</v>
      </c>
      <c r="H92" s="26">
        <v>721.77</v>
      </c>
      <c r="I92" s="26">
        <v>561.41999999999996</v>
      </c>
      <c r="J92" s="26">
        <v>870.81</v>
      </c>
      <c r="K92" s="26">
        <v>-65.87</v>
      </c>
      <c r="L92" s="26">
        <v>-115.11</v>
      </c>
      <c r="M92" s="26">
        <v>492.25</v>
      </c>
      <c r="N92" s="26">
        <v>730.89</v>
      </c>
      <c r="O92" s="26">
        <v>188.82</v>
      </c>
      <c r="P92" s="26">
        <v>239.51</v>
      </c>
      <c r="Q92" s="26">
        <v>565.35</v>
      </c>
      <c r="R92" s="26">
        <v>878.17</v>
      </c>
      <c r="S92" s="26">
        <v>67.959999999999994</v>
      </c>
      <c r="T92" s="26">
        <v>74.7</v>
      </c>
      <c r="U92" s="26">
        <v>6.63</v>
      </c>
      <c r="V92" s="26">
        <v>9.51</v>
      </c>
      <c r="W92" s="26">
        <v>-82.31</v>
      </c>
      <c r="X92" s="26">
        <v>1.84</v>
      </c>
      <c r="Y92" s="26">
        <v>61.46</v>
      </c>
      <c r="Z92" s="26">
        <v>77.16</v>
      </c>
      <c r="AA92" s="26">
        <v>41.96</v>
      </c>
      <c r="AB92" s="43">
        <v>3.32</v>
      </c>
      <c r="AC92" s="43">
        <v>0.372</v>
      </c>
      <c r="AD92" s="43">
        <v>-1.7085999999999999</v>
      </c>
      <c r="AE92" s="26"/>
      <c r="AF92" s="26"/>
      <c r="AG92" s="26"/>
      <c r="AH92" s="26"/>
      <c r="AI92" s="26"/>
      <c r="AJ92" s="26"/>
      <c r="AK92" s="26"/>
      <c r="AL92" s="26"/>
      <c r="AM92" s="26"/>
    </row>
    <row r="93" spans="1:39">
      <c r="A93" s="117"/>
      <c r="B93" s="119"/>
      <c r="C93" s="5" t="s">
        <v>14</v>
      </c>
      <c r="D93" s="41">
        <f t="shared" si="4"/>
        <v>67639</v>
      </c>
      <c r="E93" s="27">
        <v>262.89999999999998</v>
      </c>
      <c r="F93" s="27">
        <v>496.79</v>
      </c>
      <c r="G93" s="27">
        <v>421.21</v>
      </c>
      <c r="H93" s="27">
        <v>624.32000000000005</v>
      </c>
      <c r="I93" s="27">
        <v>501</v>
      </c>
      <c r="J93" s="27">
        <v>794.71</v>
      </c>
      <c r="K93" s="27">
        <v>-59.83</v>
      </c>
      <c r="L93" s="27">
        <v>-98.44</v>
      </c>
      <c r="M93" s="27">
        <v>425.44</v>
      </c>
      <c r="N93" s="27">
        <v>632.03</v>
      </c>
      <c r="O93" s="27">
        <v>150.19999999999999</v>
      </c>
      <c r="P93" s="27">
        <v>190.89</v>
      </c>
      <c r="Q93" s="27">
        <v>504.65</v>
      </c>
      <c r="R93" s="27">
        <v>799.43</v>
      </c>
      <c r="S93" s="27">
        <v>69.95</v>
      </c>
      <c r="T93" s="27">
        <v>76.53</v>
      </c>
      <c r="U93" s="27">
        <v>6.86</v>
      </c>
      <c r="V93" s="27">
        <v>9.7200000000000006</v>
      </c>
      <c r="W93" s="27">
        <v>-81.92</v>
      </c>
      <c r="X93" s="27">
        <v>1.62</v>
      </c>
      <c r="Y93" s="27">
        <v>58.29</v>
      </c>
      <c r="Z93" s="27">
        <v>56.77</v>
      </c>
      <c r="AA93" s="27">
        <v>34.31</v>
      </c>
      <c r="AB93" s="51" t="s">
        <v>12</v>
      </c>
      <c r="AC93" s="51" t="s">
        <v>12</v>
      </c>
      <c r="AD93" s="51" t="s">
        <v>12</v>
      </c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>
      <c r="A94" s="117"/>
      <c r="B94" s="119"/>
      <c r="C94" s="12" t="s">
        <v>11</v>
      </c>
      <c r="D94" s="41">
        <f t="shared" si="4"/>
        <v>67639</v>
      </c>
      <c r="E94" s="28">
        <v>263.17</v>
      </c>
      <c r="F94" s="28">
        <v>499.04</v>
      </c>
      <c r="G94" s="28">
        <v>420.69</v>
      </c>
      <c r="H94" s="28">
        <v>638.25</v>
      </c>
      <c r="I94" s="28">
        <v>500.01</v>
      </c>
      <c r="J94" s="28">
        <v>803.04</v>
      </c>
      <c r="K94" s="28">
        <v>-63.06</v>
      </c>
      <c r="L94" s="28">
        <v>-106.89</v>
      </c>
      <c r="M94" s="28">
        <v>425.39</v>
      </c>
      <c r="N94" s="28">
        <v>647.14</v>
      </c>
      <c r="O94" s="28">
        <v>147.62</v>
      </c>
      <c r="P94" s="28">
        <v>194.76</v>
      </c>
      <c r="Q94" s="28">
        <v>504.02</v>
      </c>
      <c r="R94" s="28">
        <v>809.26</v>
      </c>
      <c r="S94" s="28">
        <v>70.069999999999993</v>
      </c>
      <c r="T94" s="28">
        <v>77.38</v>
      </c>
      <c r="U94" s="28">
        <v>6.97</v>
      </c>
      <c r="V94" s="28">
        <v>8.86</v>
      </c>
      <c r="W94" s="28">
        <v>-81.48</v>
      </c>
      <c r="X94" s="28">
        <v>1.62</v>
      </c>
      <c r="Y94" s="28">
        <v>58.26</v>
      </c>
      <c r="Z94" s="28">
        <v>69.989999999999995</v>
      </c>
      <c r="AA94" s="28">
        <v>34.53</v>
      </c>
      <c r="AB94" s="51" t="s">
        <v>12</v>
      </c>
      <c r="AC94" s="51" t="s">
        <v>12</v>
      </c>
      <c r="AD94" s="51" t="s">
        <v>12</v>
      </c>
      <c r="AE94" s="28"/>
      <c r="AF94" s="28"/>
      <c r="AG94" s="28"/>
      <c r="AH94" s="28"/>
      <c r="AI94" s="28"/>
      <c r="AJ94" s="28"/>
      <c r="AK94" s="28"/>
      <c r="AL94" s="28"/>
      <c r="AM94" s="28"/>
    </row>
    <row r="95" spans="1:39">
      <c r="A95" s="117"/>
      <c r="B95" s="119"/>
      <c r="C95" s="3" t="s">
        <v>8</v>
      </c>
      <c r="D95" s="41">
        <f t="shared" si="4"/>
        <v>67639</v>
      </c>
      <c r="E95" s="29">
        <v>267.39999999999998</v>
      </c>
      <c r="F95" s="29">
        <v>521.42999999999995</v>
      </c>
      <c r="G95" s="29">
        <v>599.94000000000005</v>
      </c>
      <c r="H95" s="29">
        <v>819.46</v>
      </c>
      <c r="I95" s="29">
        <v>626.13</v>
      </c>
      <c r="J95" s="29">
        <v>963.82</v>
      </c>
      <c r="K95" s="29">
        <v>-84.22</v>
      </c>
      <c r="L95" s="29">
        <v>-135.79</v>
      </c>
      <c r="M95" s="29">
        <v>605.82000000000005</v>
      </c>
      <c r="N95" s="29">
        <v>830.63</v>
      </c>
      <c r="O95" s="29">
        <v>224.64</v>
      </c>
      <c r="P95" s="29">
        <v>292.22000000000003</v>
      </c>
      <c r="Q95" s="29">
        <v>631.9</v>
      </c>
      <c r="R95" s="29">
        <v>972.24</v>
      </c>
      <c r="S95" s="29">
        <v>66.81</v>
      </c>
      <c r="T95" s="29">
        <v>73.83</v>
      </c>
      <c r="U95" s="29">
        <v>7.61</v>
      </c>
      <c r="V95" s="29">
        <v>11</v>
      </c>
      <c r="W95" s="29">
        <v>-82.01</v>
      </c>
      <c r="X95" s="29">
        <v>2.27</v>
      </c>
      <c r="Y95" s="29">
        <v>66.180000000000007</v>
      </c>
      <c r="Z95" s="29">
        <v>244.03</v>
      </c>
      <c r="AA95" s="29">
        <v>67.75</v>
      </c>
      <c r="AB95" s="51" t="s">
        <v>12</v>
      </c>
      <c r="AC95" s="51" t="s">
        <v>12</v>
      </c>
      <c r="AD95" s="51" t="s">
        <v>12</v>
      </c>
      <c r="AE95" s="29"/>
      <c r="AF95" s="29"/>
      <c r="AG95" s="29"/>
      <c r="AH95" s="29"/>
      <c r="AI95" s="29"/>
      <c r="AJ95" s="29"/>
      <c r="AK95" s="29"/>
      <c r="AL95" s="29"/>
      <c r="AM95" s="29"/>
    </row>
    <row r="96" spans="1:39">
      <c r="A96" s="117"/>
      <c r="B96" s="119"/>
      <c r="C96" s="9" t="s">
        <v>7</v>
      </c>
      <c r="D96" s="41">
        <f t="shared" si="4"/>
        <v>67639</v>
      </c>
      <c r="E96" s="30">
        <v>275.25</v>
      </c>
      <c r="F96" s="30">
        <v>529.58000000000004</v>
      </c>
      <c r="G96" s="30">
        <v>508.95</v>
      </c>
      <c r="H96" s="30">
        <v>767.71</v>
      </c>
      <c r="I96" s="30">
        <v>584.22</v>
      </c>
      <c r="J96" s="30">
        <v>925.03</v>
      </c>
      <c r="K96" s="30">
        <v>-74.930000000000007</v>
      </c>
      <c r="L96" s="30">
        <v>-126.62</v>
      </c>
      <c r="M96" s="30">
        <v>514.44000000000005</v>
      </c>
      <c r="N96" s="30">
        <v>778.08</v>
      </c>
      <c r="O96" s="30">
        <v>194.25</v>
      </c>
      <c r="P96" s="30">
        <v>256.58</v>
      </c>
      <c r="Q96" s="30">
        <v>589.1</v>
      </c>
      <c r="R96" s="30">
        <v>932.27</v>
      </c>
      <c r="S96" s="30">
        <v>68.13</v>
      </c>
      <c r="T96" s="30">
        <v>75.02</v>
      </c>
      <c r="U96" s="30">
        <v>7.25</v>
      </c>
      <c r="V96" s="30">
        <v>10.83</v>
      </c>
      <c r="W96" s="30">
        <v>-81.62</v>
      </c>
      <c r="X96" s="30">
        <v>1.87</v>
      </c>
      <c r="Y96" s="30">
        <v>61.85</v>
      </c>
      <c r="Z96" s="30">
        <v>88.08</v>
      </c>
      <c r="AA96" s="30">
        <v>49.3</v>
      </c>
      <c r="AB96" s="51" t="s">
        <v>12</v>
      </c>
      <c r="AC96" s="51" t="s">
        <v>12</v>
      </c>
      <c r="AD96" s="51" t="s">
        <v>12</v>
      </c>
      <c r="AE96" s="30"/>
      <c r="AF96" s="30"/>
      <c r="AG96" s="30"/>
      <c r="AH96" s="30"/>
      <c r="AI96" s="30"/>
      <c r="AJ96" s="30"/>
      <c r="AK96" s="30"/>
      <c r="AL96" s="30"/>
      <c r="AM96" s="30"/>
    </row>
    <row r="97" spans="1:39">
      <c r="A97" s="117"/>
      <c r="B97" s="119"/>
      <c r="C97" s="7" t="s">
        <v>18</v>
      </c>
      <c r="D97" s="41">
        <f t="shared" si="4"/>
        <v>67639</v>
      </c>
      <c r="E97" s="31">
        <v>275.94</v>
      </c>
      <c r="F97" s="31">
        <v>534.91999999999996</v>
      </c>
      <c r="G97" s="31">
        <v>589.45000000000005</v>
      </c>
      <c r="H97" s="31">
        <v>875.6</v>
      </c>
      <c r="I97" s="31">
        <v>656.12</v>
      </c>
      <c r="J97" s="31">
        <v>1021.25</v>
      </c>
      <c r="K97" s="31">
        <v>-86.46</v>
      </c>
      <c r="L97" s="31">
        <v>-143.72999999999999</v>
      </c>
      <c r="M97" s="31">
        <v>595.76</v>
      </c>
      <c r="N97" s="31">
        <v>887.32</v>
      </c>
      <c r="O97" s="31">
        <v>239.84</v>
      </c>
      <c r="P97" s="31">
        <v>318.7</v>
      </c>
      <c r="Q97" s="31">
        <v>661.98</v>
      </c>
      <c r="R97" s="31">
        <v>1030.3699999999999</v>
      </c>
      <c r="S97" s="31">
        <v>66.39</v>
      </c>
      <c r="T97" s="31">
        <v>73.260000000000005</v>
      </c>
      <c r="U97" s="31">
        <v>7.3</v>
      </c>
      <c r="V97" s="31">
        <v>10.39</v>
      </c>
      <c r="W97" s="31">
        <v>-81.66</v>
      </c>
      <c r="X97" s="31">
        <v>2.16</v>
      </c>
      <c r="Y97" s="31">
        <v>65.150000000000006</v>
      </c>
      <c r="Z97" s="31">
        <v>240.94</v>
      </c>
      <c r="AA97" s="31">
        <v>48.6</v>
      </c>
      <c r="AB97" s="51" t="s">
        <v>12</v>
      </c>
      <c r="AC97" s="51" t="s">
        <v>12</v>
      </c>
      <c r="AD97" s="51" t="s">
        <v>12</v>
      </c>
      <c r="AE97" s="31"/>
      <c r="AF97" s="31"/>
      <c r="AG97" s="31"/>
      <c r="AH97" s="31"/>
      <c r="AI97" s="31"/>
      <c r="AJ97" s="31"/>
      <c r="AK97" s="31"/>
      <c r="AL97" s="31"/>
      <c r="AM97" s="31"/>
    </row>
    <row r="98" spans="1:39">
      <c r="A98" s="117"/>
      <c r="B98" s="119"/>
      <c r="C98" s="6" t="s">
        <v>19</v>
      </c>
      <c r="D98" s="41">
        <f t="shared" si="4"/>
        <v>67639</v>
      </c>
      <c r="E98" s="32">
        <v>263.2</v>
      </c>
      <c r="F98" s="32">
        <v>512.22</v>
      </c>
      <c r="G98" s="32">
        <v>490.69</v>
      </c>
      <c r="H98" s="32">
        <v>712.35</v>
      </c>
      <c r="I98" s="32">
        <v>563.07000000000005</v>
      </c>
      <c r="J98" s="32">
        <v>872.39</v>
      </c>
      <c r="K98" s="32">
        <v>-64.41</v>
      </c>
      <c r="L98" s="32">
        <v>-110.44</v>
      </c>
      <c r="M98" s="32">
        <v>494.9</v>
      </c>
      <c r="N98" s="32">
        <v>720.86</v>
      </c>
      <c r="O98" s="32">
        <v>193.23</v>
      </c>
      <c r="P98" s="32">
        <v>238.01</v>
      </c>
      <c r="Q98" s="32">
        <v>566.9</v>
      </c>
      <c r="R98" s="32">
        <v>878.48</v>
      </c>
      <c r="S98" s="32">
        <v>67.53</v>
      </c>
      <c r="T98" s="32">
        <v>74.959999999999994</v>
      </c>
      <c r="U98" s="32">
        <v>6.73</v>
      </c>
      <c r="V98" s="32">
        <v>12.43</v>
      </c>
      <c r="W98" s="32">
        <v>-82.52</v>
      </c>
      <c r="X98" s="32">
        <v>1.88</v>
      </c>
      <c r="Y98" s="32">
        <v>61.99</v>
      </c>
      <c r="Z98" s="32">
        <v>107.67</v>
      </c>
      <c r="AA98" s="32">
        <v>64.790000000000006</v>
      </c>
      <c r="AB98" s="51" t="s">
        <v>12</v>
      </c>
      <c r="AC98" s="51" t="s">
        <v>12</v>
      </c>
      <c r="AD98" s="51" t="s">
        <v>12</v>
      </c>
      <c r="AE98" s="32"/>
      <c r="AF98" s="32"/>
      <c r="AG98" s="32"/>
      <c r="AH98" s="32"/>
      <c r="AI98" s="32"/>
      <c r="AJ98" s="32"/>
      <c r="AK98" s="32"/>
      <c r="AL98" s="32"/>
      <c r="AM98" s="32"/>
    </row>
    <row r="99" spans="1:39">
      <c r="A99" s="117"/>
      <c r="B99" s="119"/>
      <c r="C99" s="4" t="s">
        <v>23</v>
      </c>
      <c r="D99" s="41">
        <f t="shared" si="4"/>
        <v>67639</v>
      </c>
      <c r="E99" s="33">
        <v>273.81</v>
      </c>
      <c r="F99" s="33">
        <v>524.01</v>
      </c>
      <c r="G99" s="33">
        <v>471.24</v>
      </c>
      <c r="H99" s="33">
        <v>697.41</v>
      </c>
      <c r="I99" s="33">
        <v>550.42999999999995</v>
      </c>
      <c r="J99" s="33">
        <v>867.41</v>
      </c>
      <c r="K99" s="33">
        <v>-62.84</v>
      </c>
      <c r="L99" s="33">
        <v>-106.27</v>
      </c>
      <c r="M99" s="33">
        <v>475.41</v>
      </c>
      <c r="N99" s="33">
        <v>705.46</v>
      </c>
      <c r="O99" s="33">
        <v>177.72</v>
      </c>
      <c r="P99" s="33">
        <v>235.23</v>
      </c>
      <c r="Q99" s="33">
        <v>554.19000000000005</v>
      </c>
      <c r="R99" s="33">
        <v>870.81</v>
      </c>
      <c r="S99" s="33">
        <v>68.75</v>
      </c>
      <c r="T99" s="33">
        <v>75.489999999999995</v>
      </c>
      <c r="U99" s="33">
        <v>6.67</v>
      </c>
      <c r="V99" s="33">
        <v>10.48</v>
      </c>
      <c r="W99" s="33">
        <v>-82.4</v>
      </c>
      <c r="X99" s="33">
        <v>1.74</v>
      </c>
      <c r="Y99" s="33">
        <v>60.06</v>
      </c>
      <c r="Z99" s="33">
        <v>74.099999999999994</v>
      </c>
      <c r="AA99" s="33">
        <v>50.84</v>
      </c>
      <c r="AB99" s="51" t="s">
        <v>12</v>
      </c>
      <c r="AC99" s="51" t="s">
        <v>12</v>
      </c>
      <c r="AD99" s="51" t="s">
        <v>12</v>
      </c>
      <c r="AE99" s="33"/>
      <c r="AF99" s="33"/>
      <c r="AG99" s="33"/>
      <c r="AH99" s="33"/>
      <c r="AI99" s="33"/>
      <c r="AJ99" s="33"/>
      <c r="AK99" s="33"/>
      <c r="AL99" s="33"/>
      <c r="AM99" s="33"/>
    </row>
    <row r="100" spans="1:39">
      <c r="A100" s="117"/>
      <c r="B100" s="119"/>
      <c r="C100" s="10" t="s">
        <v>24</v>
      </c>
      <c r="D100" s="41">
        <f t="shared" si="4"/>
        <v>67639</v>
      </c>
      <c r="E100" s="34">
        <v>266.01</v>
      </c>
      <c r="F100" s="34">
        <v>529.11</v>
      </c>
      <c r="G100" s="34">
        <v>624.71</v>
      </c>
      <c r="H100" s="34">
        <v>920.45</v>
      </c>
      <c r="I100" s="34">
        <v>685.55</v>
      </c>
      <c r="J100" s="34">
        <v>1055.01</v>
      </c>
      <c r="K100" s="34">
        <v>-90.18</v>
      </c>
      <c r="L100" s="34">
        <v>-154.11000000000001</v>
      </c>
      <c r="M100" s="34">
        <v>631.19000000000005</v>
      </c>
      <c r="N100" s="34">
        <v>933.26</v>
      </c>
      <c r="O100" s="34">
        <v>264.19</v>
      </c>
      <c r="P100" s="34">
        <v>350.79</v>
      </c>
      <c r="Q100" s="34">
        <v>691.66</v>
      </c>
      <c r="R100" s="34">
        <v>1063.47</v>
      </c>
      <c r="S100" s="34">
        <v>65.25</v>
      </c>
      <c r="T100" s="34">
        <v>72.81</v>
      </c>
      <c r="U100" s="34">
        <v>7.22</v>
      </c>
      <c r="V100" s="34">
        <v>13.01</v>
      </c>
      <c r="W100" s="34">
        <v>-81.790000000000006</v>
      </c>
      <c r="X100" s="34">
        <v>2.37</v>
      </c>
      <c r="Y100" s="34">
        <v>67.150000000000006</v>
      </c>
      <c r="Z100" s="34">
        <v>232.65</v>
      </c>
      <c r="AA100" s="34">
        <v>74.239999999999995</v>
      </c>
      <c r="AB100" s="51" t="s">
        <v>12</v>
      </c>
      <c r="AC100" s="51" t="s">
        <v>12</v>
      </c>
      <c r="AD100" s="51" t="s">
        <v>12</v>
      </c>
      <c r="AE100" s="34"/>
      <c r="AF100" s="34"/>
      <c r="AG100" s="34"/>
      <c r="AH100" s="34"/>
      <c r="AI100" s="34"/>
      <c r="AJ100" s="34"/>
      <c r="AK100" s="34"/>
      <c r="AL100" s="34"/>
      <c r="AM100" s="34"/>
    </row>
    <row r="101" spans="1:39">
      <c r="A101" s="117"/>
      <c r="B101" s="119"/>
      <c r="C101" s="11" t="s">
        <v>25</v>
      </c>
      <c r="D101" s="41">
        <f t="shared" si="4"/>
        <v>67639</v>
      </c>
      <c r="E101" s="51" t="s">
        <v>12</v>
      </c>
      <c r="F101" s="51" t="s">
        <v>12</v>
      </c>
      <c r="G101" s="51" t="s">
        <v>12</v>
      </c>
      <c r="H101" s="51" t="s">
        <v>12</v>
      </c>
      <c r="I101" s="51" t="s">
        <v>12</v>
      </c>
      <c r="J101" s="51" t="s">
        <v>12</v>
      </c>
      <c r="K101" s="51" t="s">
        <v>12</v>
      </c>
      <c r="L101" s="51" t="s">
        <v>12</v>
      </c>
      <c r="M101" s="51" t="s">
        <v>12</v>
      </c>
      <c r="N101" s="51" t="s">
        <v>12</v>
      </c>
      <c r="O101" s="51" t="s">
        <v>12</v>
      </c>
      <c r="P101" s="51" t="s">
        <v>12</v>
      </c>
      <c r="Q101" s="51" t="s">
        <v>12</v>
      </c>
      <c r="R101" s="51" t="s">
        <v>12</v>
      </c>
      <c r="S101" s="51" t="s">
        <v>12</v>
      </c>
      <c r="T101" s="51" t="s">
        <v>12</v>
      </c>
      <c r="U101" s="51" t="s">
        <v>12</v>
      </c>
      <c r="V101" s="51" t="s">
        <v>12</v>
      </c>
      <c r="W101" s="51" t="s">
        <v>12</v>
      </c>
      <c r="X101" s="51" t="s">
        <v>12</v>
      </c>
      <c r="Y101" s="51" t="s">
        <v>12</v>
      </c>
      <c r="Z101" s="35">
        <v>198.32</v>
      </c>
      <c r="AA101" s="35">
        <v>89.12</v>
      </c>
      <c r="AB101" s="49">
        <v>4.3600000000000003</v>
      </c>
      <c r="AC101" s="49">
        <v>0.59799999999999998</v>
      </c>
      <c r="AD101" s="49">
        <v>-1.5096000000000001</v>
      </c>
      <c r="AE101" s="51" t="s">
        <v>12</v>
      </c>
      <c r="AF101" s="51"/>
      <c r="AG101" s="51"/>
      <c r="AH101" s="51"/>
      <c r="AI101" s="51"/>
      <c r="AJ101" s="51"/>
      <c r="AK101" s="51"/>
      <c r="AL101" s="51"/>
      <c r="AM101" s="51"/>
    </row>
    <row r="102" spans="1:39">
      <c r="A102" s="117"/>
      <c r="B102" s="119"/>
      <c r="C102" s="8" t="s">
        <v>26</v>
      </c>
      <c r="D102" s="41">
        <f t="shared" si="4"/>
        <v>67639</v>
      </c>
      <c r="E102" s="51" t="s">
        <v>12</v>
      </c>
      <c r="F102" s="51" t="s">
        <v>12</v>
      </c>
      <c r="G102" s="51" t="s">
        <v>12</v>
      </c>
      <c r="H102" s="51" t="s">
        <v>12</v>
      </c>
      <c r="I102" s="51" t="s">
        <v>12</v>
      </c>
      <c r="J102" s="51" t="s">
        <v>12</v>
      </c>
      <c r="K102" s="51" t="s">
        <v>12</v>
      </c>
      <c r="L102" s="51" t="s">
        <v>12</v>
      </c>
      <c r="M102" s="51" t="s">
        <v>12</v>
      </c>
      <c r="N102" s="51" t="s">
        <v>12</v>
      </c>
      <c r="O102" s="51" t="s">
        <v>12</v>
      </c>
      <c r="P102" s="51" t="s">
        <v>12</v>
      </c>
      <c r="Q102" s="51" t="s">
        <v>12</v>
      </c>
      <c r="R102" s="51" t="s">
        <v>12</v>
      </c>
      <c r="S102" s="51" t="s">
        <v>12</v>
      </c>
      <c r="T102" s="51" t="s">
        <v>12</v>
      </c>
      <c r="U102" s="51" t="s">
        <v>12</v>
      </c>
      <c r="V102" s="51" t="s">
        <v>12</v>
      </c>
      <c r="W102" s="51" t="s">
        <v>12</v>
      </c>
      <c r="X102" s="51" t="s">
        <v>12</v>
      </c>
      <c r="Y102" s="51" t="s">
        <v>12</v>
      </c>
      <c r="Z102" s="51" t="s">
        <v>12</v>
      </c>
      <c r="AA102" s="51" t="s">
        <v>12</v>
      </c>
      <c r="AB102" s="51" t="s">
        <v>12</v>
      </c>
      <c r="AC102" s="51" t="s">
        <v>12</v>
      </c>
      <c r="AD102" s="51" t="s">
        <v>12</v>
      </c>
      <c r="AE102" s="51" t="s">
        <v>12</v>
      </c>
      <c r="AF102" s="51"/>
      <c r="AG102" s="51"/>
      <c r="AH102" s="51"/>
      <c r="AI102" s="51"/>
      <c r="AJ102" s="51"/>
      <c r="AK102" s="51"/>
      <c r="AL102" s="51"/>
      <c r="AM102" s="51"/>
    </row>
    <row r="103" spans="1:39">
      <c r="A103" s="117"/>
      <c r="B103" s="119"/>
      <c r="C103" s="19" t="s">
        <v>27</v>
      </c>
      <c r="D103" s="41">
        <f t="shared" si="4"/>
        <v>67639</v>
      </c>
      <c r="E103" s="38">
        <v>279.05</v>
      </c>
      <c r="F103" s="38">
        <v>546.05999999999995</v>
      </c>
      <c r="G103" s="38">
        <v>507.07</v>
      </c>
      <c r="H103" s="38">
        <v>806.51</v>
      </c>
      <c r="I103" s="38">
        <v>584.39</v>
      </c>
      <c r="J103" s="38">
        <v>967.92</v>
      </c>
      <c r="K103" s="38">
        <v>-77.099999999999994</v>
      </c>
      <c r="L103" s="38">
        <v>-137.03</v>
      </c>
      <c r="M103" s="38">
        <v>512.9</v>
      </c>
      <c r="N103" s="38">
        <v>818.07</v>
      </c>
      <c r="O103" s="38">
        <v>190.26</v>
      </c>
      <c r="P103" s="38">
        <v>263.58</v>
      </c>
      <c r="Q103" s="38">
        <v>589.55999999999995</v>
      </c>
      <c r="R103" s="38">
        <v>977.2</v>
      </c>
      <c r="S103" s="38">
        <v>68.44</v>
      </c>
      <c r="T103" s="38">
        <v>75.319999999999993</v>
      </c>
      <c r="U103" s="38">
        <v>7.45</v>
      </c>
      <c r="V103" s="38">
        <v>11.02</v>
      </c>
      <c r="W103" s="38">
        <v>-81.349999999999994</v>
      </c>
      <c r="X103" s="38">
        <v>1.84</v>
      </c>
      <c r="Y103" s="38">
        <v>61.45</v>
      </c>
      <c r="Z103" s="38">
        <v>93.3</v>
      </c>
      <c r="AA103" s="38">
        <v>38.9</v>
      </c>
      <c r="AB103" s="51" t="s">
        <v>12</v>
      </c>
      <c r="AC103" s="51" t="s">
        <v>12</v>
      </c>
      <c r="AD103" s="51" t="s">
        <v>12</v>
      </c>
      <c r="AE103" s="38"/>
      <c r="AF103" s="38"/>
      <c r="AG103" s="38"/>
      <c r="AH103" s="38"/>
      <c r="AI103" s="38"/>
      <c r="AJ103" s="38"/>
      <c r="AK103" s="38"/>
      <c r="AL103" s="38"/>
      <c r="AM103" s="38"/>
    </row>
    <row r="104" spans="1:39">
      <c r="A104" s="117"/>
      <c r="B104" s="120"/>
      <c r="C104" s="21" t="s">
        <v>28</v>
      </c>
      <c r="D104" s="41">
        <f t="shared" si="4"/>
        <v>67639</v>
      </c>
      <c r="E104" s="37">
        <v>264.68</v>
      </c>
      <c r="F104" s="37">
        <v>523.77</v>
      </c>
      <c r="G104" s="37">
        <v>476.98</v>
      </c>
      <c r="H104" s="37">
        <v>747.37</v>
      </c>
      <c r="I104" s="37">
        <v>551.05999999999995</v>
      </c>
      <c r="J104" s="37">
        <v>912.94</v>
      </c>
      <c r="K104" s="37">
        <v>-68.52</v>
      </c>
      <c r="L104" s="37">
        <v>-129.24</v>
      </c>
      <c r="M104" s="37">
        <v>481.88</v>
      </c>
      <c r="N104" s="37">
        <v>758.46</v>
      </c>
      <c r="O104" s="37">
        <v>180.88</v>
      </c>
      <c r="P104" s="37">
        <v>245.04</v>
      </c>
      <c r="Q104" s="37">
        <v>555.4</v>
      </c>
      <c r="R104" s="37">
        <v>920.4</v>
      </c>
      <c r="S104" s="37">
        <v>67.84</v>
      </c>
      <c r="T104" s="37">
        <v>75.52</v>
      </c>
      <c r="U104" s="37">
        <v>7.08</v>
      </c>
      <c r="V104" s="37">
        <v>10.66</v>
      </c>
      <c r="W104" s="37">
        <v>-81.83</v>
      </c>
      <c r="X104" s="37">
        <v>1.82</v>
      </c>
      <c r="Y104" s="37">
        <v>61.22</v>
      </c>
      <c r="Z104" s="37">
        <v>70.400000000000006</v>
      </c>
      <c r="AA104" s="37">
        <v>39.36</v>
      </c>
      <c r="AB104" s="51" t="s">
        <v>12</v>
      </c>
      <c r="AC104" s="51" t="s">
        <v>12</v>
      </c>
      <c r="AD104" s="51" t="s">
        <v>12</v>
      </c>
      <c r="AE104" s="37"/>
      <c r="AF104" s="37"/>
      <c r="AG104" s="37"/>
      <c r="AH104" s="37"/>
      <c r="AI104" s="37"/>
      <c r="AJ104" s="37"/>
      <c r="AK104" s="37"/>
      <c r="AL104" s="37"/>
      <c r="AM104" s="37"/>
    </row>
    <row r="105" spans="1:39">
      <c r="A105" s="117"/>
      <c r="B105" s="118">
        <v>8</v>
      </c>
      <c r="C105" s="2" t="s">
        <v>16</v>
      </c>
      <c r="D105" s="41">
        <f>D91+11111+139</f>
        <v>78889</v>
      </c>
      <c r="E105" s="25">
        <v>262.89</v>
      </c>
      <c r="F105" s="25">
        <v>503.39</v>
      </c>
      <c r="G105" s="25">
        <v>490.76</v>
      </c>
      <c r="H105" s="25">
        <v>706.15</v>
      </c>
      <c r="I105" s="25">
        <v>561.51</v>
      </c>
      <c r="J105" s="25">
        <v>863.87</v>
      </c>
      <c r="K105" s="25">
        <v>-63.39</v>
      </c>
      <c r="L105" s="25">
        <v>-106.1</v>
      </c>
      <c r="M105" s="25">
        <v>494.84</v>
      </c>
      <c r="N105" s="25">
        <v>714.08</v>
      </c>
      <c r="O105" s="25">
        <v>194.06</v>
      </c>
      <c r="P105" s="25">
        <v>236.98</v>
      </c>
      <c r="Q105" s="25">
        <v>566.15</v>
      </c>
      <c r="R105" s="25">
        <v>868.53</v>
      </c>
      <c r="S105" s="25">
        <v>67.36</v>
      </c>
      <c r="T105" s="25">
        <v>74.709999999999994</v>
      </c>
      <c r="U105" s="25">
        <v>6.32</v>
      </c>
      <c r="V105" s="25">
        <v>8.8000000000000007</v>
      </c>
      <c r="W105" s="25">
        <v>-82.64</v>
      </c>
      <c r="X105" s="25">
        <v>1.88</v>
      </c>
      <c r="Y105" s="25">
        <v>62.02</v>
      </c>
      <c r="Z105" s="25">
        <v>63.21</v>
      </c>
      <c r="AA105" s="25">
        <v>44.81</v>
      </c>
      <c r="AB105" s="51" t="s">
        <v>12</v>
      </c>
      <c r="AC105" s="51" t="s">
        <v>12</v>
      </c>
      <c r="AD105" s="51" t="s">
        <v>12</v>
      </c>
      <c r="AE105" s="25"/>
      <c r="AF105" s="25"/>
      <c r="AG105" s="25"/>
      <c r="AH105" s="25"/>
      <c r="AI105" s="25"/>
      <c r="AJ105" s="25"/>
      <c r="AK105" s="25"/>
      <c r="AL105" s="25"/>
      <c r="AM105" s="25"/>
    </row>
    <row r="106" spans="1:39">
      <c r="A106" s="117"/>
      <c r="B106" s="119"/>
      <c r="C106" s="1" t="s">
        <v>15</v>
      </c>
      <c r="D106" s="41">
        <f t="shared" ref="D106:D118" si="5">D92+11111+139</f>
        <v>78889</v>
      </c>
      <c r="E106" s="26">
        <v>265.26</v>
      </c>
      <c r="F106" s="26">
        <v>507.21</v>
      </c>
      <c r="G106" s="26">
        <v>504.01</v>
      </c>
      <c r="H106" s="26">
        <v>757.12</v>
      </c>
      <c r="I106" s="26">
        <v>574.96</v>
      </c>
      <c r="J106" s="26">
        <v>904.85</v>
      </c>
      <c r="K106" s="26">
        <v>-67.08</v>
      </c>
      <c r="L106" s="26">
        <v>-113.28</v>
      </c>
      <c r="M106" s="26">
        <v>508.45</v>
      </c>
      <c r="N106" s="26">
        <v>765.55</v>
      </c>
      <c r="O106" s="26">
        <v>199.6</v>
      </c>
      <c r="P106" s="26">
        <v>263.22000000000003</v>
      </c>
      <c r="Q106" s="26">
        <v>578.95000000000005</v>
      </c>
      <c r="R106" s="26">
        <v>911.03</v>
      </c>
      <c r="S106" s="26">
        <v>67.33</v>
      </c>
      <c r="T106" s="26">
        <v>74.180000000000007</v>
      </c>
      <c r="U106" s="26">
        <v>6.59</v>
      </c>
      <c r="V106" s="26">
        <v>9.2899999999999991</v>
      </c>
      <c r="W106" s="26">
        <v>-82.42</v>
      </c>
      <c r="X106" s="26">
        <v>1.92</v>
      </c>
      <c r="Y106" s="26">
        <v>62.45</v>
      </c>
      <c r="Z106" s="26">
        <v>88.6</v>
      </c>
      <c r="AA106" s="26">
        <v>43.55</v>
      </c>
      <c r="AB106" s="43">
        <v>3.56</v>
      </c>
      <c r="AC106" s="43">
        <v>0.42399999999999999</v>
      </c>
      <c r="AD106" s="43">
        <v>-1.5114000000000001</v>
      </c>
      <c r="AE106" s="26"/>
      <c r="AF106" s="26"/>
      <c r="AG106" s="26"/>
      <c r="AH106" s="26"/>
      <c r="AI106" s="26"/>
      <c r="AJ106" s="26"/>
      <c r="AK106" s="26"/>
      <c r="AL106" s="26"/>
      <c r="AM106" s="26"/>
    </row>
    <row r="107" spans="1:39">
      <c r="A107" s="117"/>
      <c r="B107" s="119"/>
      <c r="C107" s="5" t="s">
        <v>14</v>
      </c>
      <c r="D107" s="41">
        <f t="shared" si="5"/>
        <v>78889</v>
      </c>
      <c r="E107" s="27">
        <v>261.64999999999998</v>
      </c>
      <c r="F107" s="27">
        <v>496.85</v>
      </c>
      <c r="G107" s="27">
        <v>438.14</v>
      </c>
      <c r="H107" s="27">
        <v>649.70000000000005</v>
      </c>
      <c r="I107" s="27">
        <v>515.39</v>
      </c>
      <c r="J107" s="27">
        <v>817.06</v>
      </c>
      <c r="K107" s="27">
        <v>-61.74</v>
      </c>
      <c r="L107" s="27">
        <v>-101.85</v>
      </c>
      <c r="M107" s="27">
        <v>442.47</v>
      </c>
      <c r="N107" s="27">
        <v>657.63</v>
      </c>
      <c r="O107" s="27">
        <v>160.61000000000001</v>
      </c>
      <c r="P107" s="27">
        <v>201.54</v>
      </c>
      <c r="Q107" s="27">
        <v>519.15</v>
      </c>
      <c r="R107" s="27">
        <v>822.15</v>
      </c>
      <c r="S107" s="27">
        <v>69.209999999999994</v>
      </c>
      <c r="T107" s="27">
        <v>76.11</v>
      </c>
      <c r="U107" s="27">
        <v>6.83</v>
      </c>
      <c r="V107" s="27">
        <v>10.27</v>
      </c>
      <c r="W107" s="27">
        <v>-81.98</v>
      </c>
      <c r="X107" s="27">
        <v>1.69</v>
      </c>
      <c r="Y107" s="27">
        <v>59.4</v>
      </c>
      <c r="Z107" s="27">
        <v>61.66</v>
      </c>
      <c r="AA107" s="27">
        <v>36.979999999999997</v>
      </c>
      <c r="AB107" s="51"/>
      <c r="AC107" s="51"/>
      <c r="AD107" s="51"/>
      <c r="AE107" s="27"/>
      <c r="AF107" s="27"/>
      <c r="AG107" s="27"/>
      <c r="AH107" s="27"/>
      <c r="AI107" s="27"/>
      <c r="AJ107" s="27"/>
      <c r="AK107" s="27"/>
      <c r="AL107" s="27"/>
      <c r="AM107" s="27"/>
    </row>
    <row r="108" spans="1:39">
      <c r="A108" s="117"/>
      <c r="B108" s="119"/>
      <c r="C108" s="12" t="s">
        <v>11</v>
      </c>
      <c r="D108" s="41">
        <f t="shared" si="5"/>
        <v>78889</v>
      </c>
      <c r="E108" s="28">
        <v>291.86</v>
      </c>
      <c r="F108" s="28">
        <v>593.55999999999995</v>
      </c>
      <c r="G108" s="28">
        <v>508.2</v>
      </c>
      <c r="H108" s="28">
        <v>784.63</v>
      </c>
      <c r="I108" s="28">
        <v>592.22</v>
      </c>
      <c r="J108" s="28">
        <v>979.22</v>
      </c>
      <c r="K108" s="28">
        <v>-116.43</v>
      </c>
      <c r="L108" s="28">
        <v>-203.23</v>
      </c>
      <c r="M108" s="28">
        <v>521.37</v>
      </c>
      <c r="N108" s="28">
        <v>810.52</v>
      </c>
      <c r="O108" s="28">
        <v>160.49</v>
      </c>
      <c r="P108" s="28">
        <v>196.61</v>
      </c>
      <c r="Q108" s="28">
        <v>603.64</v>
      </c>
      <c r="R108" s="28">
        <v>998.74</v>
      </c>
      <c r="S108" s="28">
        <v>71.349999999999994</v>
      </c>
      <c r="T108" s="28">
        <v>81.17</v>
      </c>
      <c r="U108" s="28">
        <v>10.58</v>
      </c>
      <c r="V108" s="28">
        <v>13.84</v>
      </c>
      <c r="W108" s="28">
        <v>-77.099999999999994</v>
      </c>
      <c r="X108" s="28">
        <v>1.79</v>
      </c>
      <c r="Y108" s="28">
        <v>60.76</v>
      </c>
      <c r="Z108" s="28">
        <v>71.95</v>
      </c>
      <c r="AA108" s="28">
        <v>41.91</v>
      </c>
      <c r="AB108" s="51" t="s">
        <v>12</v>
      </c>
      <c r="AC108" s="51" t="s">
        <v>12</v>
      </c>
      <c r="AD108" s="51" t="s">
        <v>12</v>
      </c>
      <c r="AE108" s="28"/>
      <c r="AF108" s="28"/>
      <c r="AG108" s="28"/>
      <c r="AH108" s="28"/>
      <c r="AI108" s="28"/>
      <c r="AJ108" s="28"/>
      <c r="AK108" s="28"/>
      <c r="AL108" s="28"/>
      <c r="AM108" s="28"/>
    </row>
    <row r="109" spans="1:39">
      <c r="A109" s="117"/>
      <c r="B109" s="119"/>
      <c r="C109" s="3" t="s">
        <v>8</v>
      </c>
      <c r="D109" s="41">
        <f t="shared" si="5"/>
        <v>78889</v>
      </c>
      <c r="E109" s="51" t="s">
        <v>12</v>
      </c>
      <c r="F109" s="51" t="s">
        <v>12</v>
      </c>
      <c r="G109" s="51" t="s">
        <v>12</v>
      </c>
      <c r="H109" s="51" t="s">
        <v>12</v>
      </c>
      <c r="I109" s="51" t="s">
        <v>12</v>
      </c>
      <c r="J109" s="51" t="s">
        <v>12</v>
      </c>
      <c r="K109" s="51" t="s">
        <v>12</v>
      </c>
      <c r="L109" s="51" t="s">
        <v>12</v>
      </c>
      <c r="M109" s="51" t="s">
        <v>12</v>
      </c>
      <c r="N109" s="51" t="s">
        <v>12</v>
      </c>
      <c r="O109" s="51" t="s">
        <v>12</v>
      </c>
      <c r="P109" s="51" t="s">
        <v>12</v>
      </c>
      <c r="Q109" s="51" t="s">
        <v>12</v>
      </c>
      <c r="R109" s="51" t="s">
        <v>12</v>
      </c>
      <c r="S109" s="51" t="s">
        <v>12</v>
      </c>
      <c r="T109" s="51" t="s">
        <v>12</v>
      </c>
      <c r="U109" s="51" t="s">
        <v>12</v>
      </c>
      <c r="V109" s="51" t="s">
        <v>12</v>
      </c>
      <c r="W109" s="51" t="s">
        <v>12</v>
      </c>
      <c r="X109" s="51" t="s">
        <v>12</v>
      </c>
      <c r="Y109" s="51" t="s">
        <v>12</v>
      </c>
      <c r="Z109" s="29">
        <v>1248.83</v>
      </c>
      <c r="AA109" s="29">
        <v>73.430000000000007</v>
      </c>
      <c r="AB109" s="51" t="s">
        <v>12</v>
      </c>
      <c r="AC109" s="51" t="s">
        <v>12</v>
      </c>
      <c r="AD109" s="51" t="s">
        <v>12</v>
      </c>
      <c r="AE109" s="51" t="s">
        <v>12</v>
      </c>
      <c r="AF109" s="51"/>
      <c r="AG109" s="51"/>
      <c r="AH109" s="51"/>
      <c r="AI109" s="51"/>
      <c r="AJ109" s="51"/>
      <c r="AK109" s="51"/>
      <c r="AL109" s="51"/>
      <c r="AM109" s="51"/>
    </row>
    <row r="110" spans="1:39">
      <c r="A110" s="117"/>
      <c r="B110" s="119"/>
      <c r="C110" s="9" t="s">
        <v>7</v>
      </c>
      <c r="D110" s="41">
        <f t="shared" si="5"/>
        <v>78889</v>
      </c>
      <c r="E110" s="30">
        <v>273.02999999999997</v>
      </c>
      <c r="F110" s="30">
        <v>529.46</v>
      </c>
      <c r="G110" s="30">
        <v>565.75</v>
      </c>
      <c r="H110" s="30">
        <v>811.79</v>
      </c>
      <c r="I110" s="30">
        <v>634.79999999999995</v>
      </c>
      <c r="J110" s="30">
        <v>963.3</v>
      </c>
      <c r="K110" s="30">
        <v>-84.22</v>
      </c>
      <c r="L110" s="30">
        <v>-131.28</v>
      </c>
      <c r="M110" s="30">
        <v>571.98</v>
      </c>
      <c r="N110" s="30">
        <v>822.34</v>
      </c>
      <c r="O110" s="30">
        <v>262.58</v>
      </c>
      <c r="P110" s="30">
        <v>282.14</v>
      </c>
      <c r="Q110" s="30">
        <v>640.49</v>
      </c>
      <c r="R110" s="30">
        <v>971.29</v>
      </c>
      <c r="S110" s="30">
        <v>66.8</v>
      </c>
      <c r="T110" s="30">
        <v>73.92</v>
      </c>
      <c r="U110" s="30">
        <v>7.5</v>
      </c>
      <c r="V110" s="30">
        <v>11.11</v>
      </c>
      <c r="W110" s="30">
        <v>-81.53</v>
      </c>
      <c r="X110" s="30">
        <v>2.09</v>
      </c>
      <c r="Y110" s="30">
        <v>64.48</v>
      </c>
      <c r="Z110" s="30">
        <v>158</v>
      </c>
      <c r="AA110" s="30">
        <v>75.91</v>
      </c>
      <c r="AB110" s="46">
        <v>4.8620000000000001</v>
      </c>
      <c r="AC110" s="46">
        <v>0.59799999999999998</v>
      </c>
      <c r="AD110" s="46">
        <v>-1.60175</v>
      </c>
      <c r="AE110" s="30"/>
      <c r="AF110" s="30"/>
      <c r="AG110" s="30"/>
      <c r="AH110" s="30"/>
      <c r="AI110" s="30"/>
      <c r="AJ110" s="30"/>
      <c r="AK110" s="30"/>
      <c r="AL110" s="30"/>
      <c r="AM110" s="30"/>
    </row>
    <row r="111" spans="1:39">
      <c r="A111" s="117"/>
      <c r="B111" s="119"/>
      <c r="C111" s="7" t="s">
        <v>18</v>
      </c>
      <c r="D111" s="41">
        <f t="shared" si="5"/>
        <v>78889</v>
      </c>
      <c r="E111" s="31">
        <v>255.64</v>
      </c>
      <c r="F111" s="31">
        <v>563.09</v>
      </c>
      <c r="G111" s="31">
        <v>834.46</v>
      </c>
      <c r="H111" s="31">
        <v>1215.83</v>
      </c>
      <c r="I111" s="31">
        <v>882.07</v>
      </c>
      <c r="J111" s="31">
        <v>1325.83</v>
      </c>
      <c r="K111" s="31">
        <v>129.65</v>
      </c>
      <c r="L111" s="31">
        <v>-213.62</v>
      </c>
      <c r="M111" s="31">
        <v>844.47</v>
      </c>
      <c r="N111" s="31">
        <v>1234.45</v>
      </c>
      <c r="O111" s="31">
        <v>380.89</v>
      </c>
      <c r="P111" s="31">
        <v>505.91</v>
      </c>
      <c r="Q111" s="31">
        <v>891.88</v>
      </c>
      <c r="R111" s="31">
        <v>1341</v>
      </c>
      <c r="S111" s="31">
        <v>62.71</v>
      </c>
      <c r="T111" s="31">
        <v>70.22</v>
      </c>
      <c r="U111" s="31">
        <v>8.0399999999999991</v>
      </c>
      <c r="V111" s="31">
        <v>11.35</v>
      </c>
      <c r="W111" s="31">
        <v>81.17</v>
      </c>
      <c r="X111" s="31">
        <v>3.3</v>
      </c>
      <c r="Y111" s="31">
        <v>73.16</v>
      </c>
      <c r="Z111" s="31">
        <v>573.33000000000004</v>
      </c>
      <c r="AA111" s="31">
        <v>50.33</v>
      </c>
      <c r="AB111" s="47">
        <v>3.7879999999999998</v>
      </c>
      <c r="AC111" s="47">
        <v>0.46600000000000003</v>
      </c>
      <c r="AD111" s="47">
        <v>-1.5389999999999999</v>
      </c>
      <c r="AE111" s="31"/>
      <c r="AF111" s="31"/>
      <c r="AG111" s="31"/>
      <c r="AH111" s="31"/>
      <c r="AI111" s="31"/>
      <c r="AJ111" s="31"/>
      <c r="AK111" s="31"/>
      <c r="AL111" s="31"/>
      <c r="AM111" s="31"/>
    </row>
    <row r="112" spans="1:39">
      <c r="A112" s="117"/>
      <c r="B112" s="119"/>
      <c r="C112" s="6" t="s">
        <v>19</v>
      </c>
      <c r="D112" s="41">
        <f t="shared" si="5"/>
        <v>78889</v>
      </c>
      <c r="E112" s="32">
        <v>260.45999999999998</v>
      </c>
      <c r="F112" s="32">
        <v>522.30999999999995</v>
      </c>
      <c r="G112" s="32">
        <v>527.16999999999996</v>
      </c>
      <c r="H112" s="32">
        <v>780.02</v>
      </c>
      <c r="I112" s="32">
        <v>595.11</v>
      </c>
      <c r="J112" s="32">
        <v>926.38</v>
      </c>
      <c r="K112" s="32">
        <v>-71.040000000000006</v>
      </c>
      <c r="L112" s="32">
        <v>-128.12</v>
      </c>
      <c r="M112" s="32">
        <v>531.94000000000005</v>
      </c>
      <c r="N112" s="32">
        <v>790.47</v>
      </c>
      <c r="O112" s="32">
        <v>214</v>
      </c>
      <c r="P112" s="32">
        <v>283.19</v>
      </c>
      <c r="Q112" s="32">
        <v>599.54</v>
      </c>
      <c r="R112" s="32">
        <v>934.18</v>
      </c>
      <c r="S112" s="32">
        <v>66.510000000000005</v>
      </c>
      <c r="T112" s="32">
        <v>74.41</v>
      </c>
      <c r="U112" s="32">
        <v>6.87</v>
      </c>
      <c r="V112" s="32">
        <v>12.86</v>
      </c>
      <c r="W112" s="32">
        <v>-82.33</v>
      </c>
      <c r="X112" s="32">
        <v>2.04</v>
      </c>
      <c r="Y112" s="32">
        <v>63.91</v>
      </c>
      <c r="Z112" s="32">
        <v>97.62</v>
      </c>
      <c r="AA112" s="32">
        <v>66.349999999999994</v>
      </c>
      <c r="AB112" s="51" t="s">
        <v>12</v>
      </c>
      <c r="AC112" s="51" t="s">
        <v>12</v>
      </c>
      <c r="AD112" s="51" t="s">
        <v>12</v>
      </c>
      <c r="AE112" s="32"/>
      <c r="AF112" s="32"/>
      <c r="AG112" s="32"/>
      <c r="AH112" s="32"/>
      <c r="AI112" s="32"/>
      <c r="AJ112" s="32"/>
      <c r="AK112" s="32"/>
      <c r="AL112" s="32"/>
      <c r="AM112" s="32"/>
    </row>
    <row r="113" spans="1:39">
      <c r="A113" s="117"/>
      <c r="B113" s="119"/>
      <c r="C113" s="4" t="s">
        <v>23</v>
      </c>
      <c r="D113" s="41">
        <f t="shared" si="5"/>
        <v>78889</v>
      </c>
      <c r="E113" s="33">
        <v>269.08999999999997</v>
      </c>
      <c r="F113" s="33">
        <v>529.80999999999995</v>
      </c>
      <c r="G113" s="33">
        <v>488.3</v>
      </c>
      <c r="H113" s="33">
        <v>745.16</v>
      </c>
      <c r="I113" s="33">
        <v>562.75</v>
      </c>
      <c r="J113" s="33">
        <v>912.1</v>
      </c>
      <c r="K113" s="33">
        <v>-61.98</v>
      </c>
      <c r="L113" s="33">
        <v>-113.01</v>
      </c>
      <c r="M113" s="33">
        <v>492.22</v>
      </c>
      <c r="N113" s="33">
        <v>753.68</v>
      </c>
      <c r="O113" s="33">
        <v>191.23</v>
      </c>
      <c r="P113" s="33">
        <v>261.58</v>
      </c>
      <c r="Q113" s="33">
        <v>566.26</v>
      </c>
      <c r="R113" s="33">
        <v>915.67</v>
      </c>
      <c r="S113" s="33">
        <v>67.31</v>
      </c>
      <c r="T113" s="33">
        <v>74.62</v>
      </c>
      <c r="U113" s="33">
        <v>6.13</v>
      </c>
      <c r="V113" s="33">
        <v>8.94</v>
      </c>
      <c r="W113" s="33">
        <v>-82.77</v>
      </c>
      <c r="X113" s="33">
        <v>1.83</v>
      </c>
      <c r="Y113" s="33">
        <v>61.34</v>
      </c>
      <c r="Z113" s="33">
        <v>148.22999999999999</v>
      </c>
      <c r="AA113" s="33">
        <v>59.87</v>
      </c>
      <c r="AB113" s="48">
        <v>3.3820000000000001</v>
      </c>
      <c r="AC113" s="48">
        <v>0.42199999999999999</v>
      </c>
      <c r="AD113" s="48">
        <v>-1.4077999999999999</v>
      </c>
      <c r="AE113" s="33"/>
      <c r="AF113" s="33"/>
      <c r="AG113" s="33"/>
      <c r="AH113" s="33"/>
      <c r="AI113" s="33"/>
      <c r="AJ113" s="33"/>
      <c r="AK113" s="33"/>
      <c r="AL113" s="33"/>
      <c r="AM113" s="33"/>
    </row>
    <row r="114" spans="1:39">
      <c r="A114" s="117"/>
      <c r="B114" s="119"/>
      <c r="C114" s="10" t="s">
        <v>24</v>
      </c>
      <c r="D114" s="41">
        <f t="shared" si="5"/>
        <v>78889</v>
      </c>
      <c r="E114" s="34">
        <v>231.85</v>
      </c>
      <c r="F114" s="34">
        <v>574.08000000000004</v>
      </c>
      <c r="G114" s="34">
        <v>716.93</v>
      </c>
      <c r="H114" s="34">
        <v>1304.8</v>
      </c>
      <c r="I114" s="34">
        <v>758.31</v>
      </c>
      <c r="J114" s="34">
        <v>1409.99</v>
      </c>
      <c r="K114" s="34">
        <v>-117.1</v>
      </c>
      <c r="L114" s="34">
        <v>-215.89</v>
      </c>
      <c r="M114" s="34">
        <v>726.43</v>
      </c>
      <c r="N114" s="34">
        <v>1322.54</v>
      </c>
      <c r="O114" s="34">
        <v>319.27</v>
      </c>
      <c r="P114" s="34">
        <v>569.83000000000004</v>
      </c>
      <c r="Q114" s="34">
        <v>768.26</v>
      </c>
      <c r="R114" s="34">
        <v>1422.78</v>
      </c>
      <c r="S114" s="34">
        <v>61.98</v>
      </c>
      <c r="T114" s="34">
        <v>69.989999999999995</v>
      </c>
      <c r="U114" s="34">
        <v>6.84</v>
      </c>
      <c r="V114" s="34">
        <v>13.75</v>
      </c>
      <c r="W114" s="34">
        <v>-80.72</v>
      </c>
      <c r="X114" s="34">
        <v>3.13</v>
      </c>
      <c r="Y114" s="34">
        <v>72.3</v>
      </c>
      <c r="Z114" s="34">
        <v>757.27</v>
      </c>
      <c r="AA114" s="34">
        <v>80.5</v>
      </c>
      <c r="AB114" s="51" t="s">
        <v>12</v>
      </c>
      <c r="AC114" s="51" t="s">
        <v>12</v>
      </c>
      <c r="AD114" s="51" t="s">
        <v>12</v>
      </c>
      <c r="AE114" s="34"/>
      <c r="AF114" s="34"/>
      <c r="AG114" s="34"/>
      <c r="AH114" s="34"/>
      <c r="AI114" s="34"/>
      <c r="AJ114" s="34"/>
      <c r="AK114" s="34"/>
      <c r="AL114" s="34"/>
      <c r="AM114" s="34"/>
    </row>
    <row r="115" spans="1:39">
      <c r="A115" s="117"/>
      <c r="B115" s="119"/>
      <c r="C115" s="11" t="s">
        <v>25</v>
      </c>
      <c r="D115" s="41">
        <f t="shared" si="5"/>
        <v>78889</v>
      </c>
      <c r="E115" s="51" t="s">
        <v>12</v>
      </c>
      <c r="F115" s="51" t="s">
        <v>12</v>
      </c>
      <c r="G115" s="51" t="s">
        <v>12</v>
      </c>
      <c r="H115" s="51" t="s">
        <v>12</v>
      </c>
      <c r="I115" s="51" t="s">
        <v>12</v>
      </c>
      <c r="J115" s="51" t="s">
        <v>12</v>
      </c>
      <c r="K115" s="51" t="s">
        <v>12</v>
      </c>
      <c r="L115" s="51" t="s">
        <v>12</v>
      </c>
      <c r="M115" s="51" t="s">
        <v>12</v>
      </c>
      <c r="N115" s="51" t="s">
        <v>12</v>
      </c>
      <c r="O115" s="51" t="s">
        <v>12</v>
      </c>
      <c r="P115" s="51" t="s">
        <v>12</v>
      </c>
      <c r="Q115" s="51" t="s">
        <v>12</v>
      </c>
      <c r="R115" s="51" t="s">
        <v>12</v>
      </c>
      <c r="S115" s="51" t="s">
        <v>12</v>
      </c>
      <c r="T115" s="51" t="s">
        <v>12</v>
      </c>
      <c r="U115" s="51" t="s">
        <v>12</v>
      </c>
      <c r="V115" s="51" t="s">
        <v>12</v>
      </c>
      <c r="W115" s="51" t="s">
        <v>12</v>
      </c>
      <c r="X115" s="51" t="s">
        <v>12</v>
      </c>
      <c r="Y115" s="51" t="s">
        <v>12</v>
      </c>
      <c r="Z115" s="35">
        <v>4221.9799999999996</v>
      </c>
      <c r="AA115" s="35">
        <v>98.69</v>
      </c>
      <c r="AB115" s="49">
        <v>3.09</v>
      </c>
      <c r="AC115" s="49">
        <v>0.38600000000000001</v>
      </c>
      <c r="AD115" s="49">
        <v>-2.9420000000000002</v>
      </c>
      <c r="AE115" s="51" t="s">
        <v>12</v>
      </c>
      <c r="AF115" s="51"/>
      <c r="AG115" s="51"/>
      <c r="AH115" s="51"/>
      <c r="AI115" s="51"/>
      <c r="AJ115" s="51"/>
      <c r="AK115" s="51"/>
      <c r="AL115" s="51"/>
      <c r="AM115" s="51"/>
    </row>
    <row r="116" spans="1:39">
      <c r="A116" s="117"/>
      <c r="B116" s="119"/>
      <c r="C116" s="8" t="s">
        <v>26</v>
      </c>
      <c r="D116" s="41">
        <f t="shared" si="5"/>
        <v>78889</v>
      </c>
      <c r="E116" s="51" t="s">
        <v>12</v>
      </c>
      <c r="F116" s="51" t="s">
        <v>12</v>
      </c>
      <c r="G116" s="51" t="s">
        <v>12</v>
      </c>
      <c r="H116" s="51" t="s">
        <v>12</v>
      </c>
      <c r="I116" s="51" t="s">
        <v>12</v>
      </c>
      <c r="J116" s="51" t="s">
        <v>12</v>
      </c>
      <c r="K116" s="51" t="s">
        <v>12</v>
      </c>
      <c r="L116" s="51" t="s">
        <v>12</v>
      </c>
      <c r="M116" s="51" t="s">
        <v>12</v>
      </c>
      <c r="N116" s="51" t="s">
        <v>12</v>
      </c>
      <c r="O116" s="51" t="s">
        <v>12</v>
      </c>
      <c r="P116" s="51" t="s">
        <v>12</v>
      </c>
      <c r="Q116" s="51" t="s">
        <v>12</v>
      </c>
      <c r="R116" s="51" t="s">
        <v>12</v>
      </c>
      <c r="S116" s="51" t="s">
        <v>12</v>
      </c>
      <c r="T116" s="51" t="s">
        <v>12</v>
      </c>
      <c r="U116" s="51" t="s">
        <v>12</v>
      </c>
      <c r="V116" s="51" t="s">
        <v>12</v>
      </c>
      <c r="W116" s="51" t="s">
        <v>12</v>
      </c>
      <c r="X116" s="51" t="s">
        <v>12</v>
      </c>
      <c r="Y116" s="51" t="s">
        <v>12</v>
      </c>
      <c r="Z116" s="51" t="s">
        <v>12</v>
      </c>
      <c r="AA116" s="51" t="s">
        <v>12</v>
      </c>
      <c r="AB116" s="51" t="s">
        <v>12</v>
      </c>
      <c r="AC116" s="51" t="s">
        <v>12</v>
      </c>
      <c r="AD116" s="51" t="s">
        <v>12</v>
      </c>
      <c r="AE116" s="51" t="s">
        <v>12</v>
      </c>
      <c r="AF116" s="51"/>
      <c r="AG116" s="51"/>
      <c r="AH116" s="51"/>
      <c r="AI116" s="51"/>
      <c r="AJ116" s="51"/>
      <c r="AK116" s="51"/>
      <c r="AL116" s="51"/>
      <c r="AM116" s="51"/>
    </row>
    <row r="117" spans="1:39">
      <c r="A117" s="117"/>
      <c r="B117" s="119"/>
      <c r="C117" s="19" t="s">
        <v>27</v>
      </c>
      <c r="D117" s="41">
        <f t="shared" si="5"/>
        <v>78889</v>
      </c>
      <c r="E117" s="38">
        <v>276.26</v>
      </c>
      <c r="F117" s="38">
        <v>548.36</v>
      </c>
      <c r="G117" s="38">
        <v>534.53</v>
      </c>
      <c r="H117" s="38">
        <v>853.7</v>
      </c>
      <c r="I117" s="38">
        <v>608.04999999999995</v>
      </c>
      <c r="J117" s="38">
        <v>1004.67</v>
      </c>
      <c r="K117" s="38">
        <v>-82</v>
      </c>
      <c r="L117" s="38">
        <v>-145.94</v>
      </c>
      <c r="M117" s="38">
        <v>540.78</v>
      </c>
      <c r="N117" s="38">
        <v>866.08</v>
      </c>
      <c r="O117" s="38">
        <v>206.2</v>
      </c>
      <c r="P117" s="38">
        <v>305.45999999999998</v>
      </c>
      <c r="Q117" s="38">
        <v>613.69000000000005</v>
      </c>
      <c r="R117" s="38">
        <v>1012.04</v>
      </c>
      <c r="S117" s="38">
        <v>67.73</v>
      </c>
      <c r="T117" s="38">
        <v>74.989999999999995</v>
      </c>
      <c r="U117" s="38">
        <v>7.68</v>
      </c>
      <c r="V117" s="38">
        <v>11.73</v>
      </c>
      <c r="W117" s="38">
        <v>-81.28</v>
      </c>
      <c r="X117" s="38">
        <v>1.96</v>
      </c>
      <c r="Y117" s="38">
        <v>62.94</v>
      </c>
      <c r="Z117" s="38">
        <v>104.07</v>
      </c>
      <c r="AA117" s="38">
        <v>56.88</v>
      </c>
      <c r="AB117" s="50">
        <v>3.7679999999999998</v>
      </c>
      <c r="AC117" s="50">
        <v>0.436</v>
      </c>
      <c r="AD117" s="50">
        <v>-1.8492</v>
      </c>
      <c r="AE117" s="38"/>
      <c r="AF117" s="38"/>
      <c r="AG117" s="38"/>
      <c r="AH117" s="38"/>
      <c r="AI117" s="38"/>
      <c r="AJ117" s="38"/>
      <c r="AK117" s="38"/>
      <c r="AL117" s="38"/>
      <c r="AM117" s="38"/>
    </row>
    <row r="118" spans="1:39">
      <c r="A118" s="117"/>
      <c r="B118" s="120"/>
      <c r="C118" s="21" t="s">
        <v>28</v>
      </c>
      <c r="D118" s="41">
        <f t="shared" si="5"/>
        <v>78889</v>
      </c>
      <c r="E118" s="37">
        <v>264.37</v>
      </c>
      <c r="F118" s="37">
        <v>529.33000000000004</v>
      </c>
      <c r="G118" s="37">
        <v>508.61</v>
      </c>
      <c r="H118" s="37">
        <v>819.2</v>
      </c>
      <c r="I118" s="37">
        <v>579.32000000000005</v>
      </c>
      <c r="J118" s="37">
        <v>961.92</v>
      </c>
      <c r="K118" s="37">
        <v>-72.67</v>
      </c>
      <c r="L118" s="37">
        <v>-130.13</v>
      </c>
      <c r="M118" s="37">
        <v>513.78</v>
      </c>
      <c r="N118" s="37">
        <v>829.47</v>
      </c>
      <c r="O118" s="37">
        <v>199.24</v>
      </c>
      <c r="P118" s="37">
        <v>292.45</v>
      </c>
      <c r="Q118" s="37">
        <v>583.97</v>
      </c>
      <c r="R118" s="37">
        <v>968.64</v>
      </c>
      <c r="S118" s="37">
        <v>67.42</v>
      </c>
      <c r="T118" s="37">
        <v>74.45</v>
      </c>
      <c r="U118" s="37">
        <v>7.19</v>
      </c>
      <c r="V118" s="37">
        <v>11.01</v>
      </c>
      <c r="W118" s="37">
        <v>-81.87</v>
      </c>
      <c r="X118" s="37">
        <v>1.94</v>
      </c>
      <c r="Y118" s="37">
        <v>62.77</v>
      </c>
      <c r="Z118" s="37">
        <v>88.49</v>
      </c>
      <c r="AA118" s="37">
        <v>53.98</v>
      </c>
      <c r="AB118" s="51" t="s">
        <v>12</v>
      </c>
      <c r="AC118" s="51" t="s">
        <v>12</v>
      </c>
      <c r="AD118" s="51" t="s">
        <v>12</v>
      </c>
      <c r="AE118" s="37"/>
      <c r="AF118" s="37"/>
      <c r="AG118" s="37"/>
      <c r="AH118" s="37"/>
      <c r="AI118" s="37"/>
      <c r="AJ118" s="37"/>
      <c r="AK118" s="37"/>
      <c r="AL118" s="37"/>
      <c r="AM118" s="37"/>
    </row>
    <row r="119" spans="1:39">
      <c r="A119" s="117"/>
      <c r="B119" s="118">
        <v>9</v>
      </c>
      <c r="C119" s="2" t="s">
        <v>16</v>
      </c>
      <c r="D119" s="41">
        <f>D105+11111+139</f>
        <v>90139</v>
      </c>
      <c r="E119" s="25">
        <v>266.31</v>
      </c>
      <c r="F119" s="25">
        <v>523.29999999999995</v>
      </c>
      <c r="G119" s="25">
        <v>594.38</v>
      </c>
      <c r="H119" s="25">
        <v>863.7</v>
      </c>
      <c r="I119" s="25">
        <v>656.86</v>
      </c>
      <c r="J119" s="25">
        <v>1003.69</v>
      </c>
      <c r="K119" s="25">
        <v>-81.540000000000006</v>
      </c>
      <c r="L119" s="25">
        <v>-133.91999999999999</v>
      </c>
      <c r="M119" s="25">
        <v>599.95000000000005</v>
      </c>
      <c r="N119" s="25">
        <v>874.02</v>
      </c>
      <c r="O119" s="25">
        <v>249.68</v>
      </c>
      <c r="P119" s="25">
        <v>319.72000000000003</v>
      </c>
      <c r="Q119" s="25">
        <v>662.02</v>
      </c>
      <c r="R119" s="25">
        <v>1010.61</v>
      </c>
      <c r="S119" s="25">
        <v>65.459999999999994</v>
      </c>
      <c r="T119" s="25">
        <v>72.41</v>
      </c>
      <c r="U119" s="25">
        <v>6.79</v>
      </c>
      <c r="V119" s="25">
        <v>9.17</v>
      </c>
      <c r="W119" s="25">
        <v>-82.19</v>
      </c>
      <c r="X119" s="25">
        <v>2.25</v>
      </c>
      <c r="Y119" s="25">
        <v>66.06</v>
      </c>
      <c r="Z119" s="25">
        <v>187.6</v>
      </c>
      <c r="AA119" s="25">
        <v>50.64</v>
      </c>
      <c r="AB119" s="51" t="s">
        <v>12</v>
      </c>
      <c r="AC119" s="51" t="s">
        <v>12</v>
      </c>
      <c r="AD119" s="51" t="s">
        <v>12</v>
      </c>
      <c r="AE119" s="25"/>
      <c r="AF119" s="25"/>
      <c r="AG119" s="25"/>
      <c r="AH119" s="25"/>
      <c r="AI119" s="25"/>
      <c r="AJ119" s="25"/>
      <c r="AK119" s="25"/>
      <c r="AL119" s="25"/>
      <c r="AM119" s="25"/>
    </row>
    <row r="120" spans="1:39">
      <c r="A120" s="117"/>
      <c r="B120" s="119"/>
      <c r="C120" s="1" t="s">
        <v>15</v>
      </c>
      <c r="D120" s="41">
        <f t="shared" ref="D120:D132" si="6">D106+11111+139</f>
        <v>90139</v>
      </c>
      <c r="E120" s="51" t="s">
        <v>12</v>
      </c>
      <c r="F120" s="51" t="s">
        <v>12</v>
      </c>
      <c r="G120" s="51" t="s">
        <v>12</v>
      </c>
      <c r="H120" s="51" t="s">
        <v>12</v>
      </c>
      <c r="I120" s="51" t="s">
        <v>12</v>
      </c>
      <c r="J120" s="51" t="s">
        <v>12</v>
      </c>
      <c r="K120" s="51" t="s">
        <v>12</v>
      </c>
      <c r="L120" s="51" t="s">
        <v>12</v>
      </c>
      <c r="M120" s="51" t="s">
        <v>12</v>
      </c>
      <c r="N120" s="51" t="s">
        <v>12</v>
      </c>
      <c r="O120" s="51" t="s">
        <v>12</v>
      </c>
      <c r="P120" s="51" t="s">
        <v>12</v>
      </c>
      <c r="Q120" s="51" t="s">
        <v>12</v>
      </c>
      <c r="R120" s="51" t="s">
        <v>12</v>
      </c>
      <c r="S120" s="51" t="s">
        <v>12</v>
      </c>
      <c r="T120" s="51" t="s">
        <v>12</v>
      </c>
      <c r="U120" s="51" t="s">
        <v>12</v>
      </c>
      <c r="V120" s="51" t="s">
        <v>12</v>
      </c>
      <c r="W120" s="51" t="s">
        <v>12</v>
      </c>
      <c r="X120" s="51" t="s">
        <v>12</v>
      </c>
      <c r="Y120" s="51" t="s">
        <v>12</v>
      </c>
      <c r="Z120" s="26">
        <v>109.11</v>
      </c>
      <c r="AA120" s="26">
        <v>45.03</v>
      </c>
      <c r="AB120" s="43">
        <v>3.0979999999999999</v>
      </c>
      <c r="AC120" s="43">
        <v>0.43</v>
      </c>
      <c r="AD120" s="43">
        <v>-1.3775999999999999</v>
      </c>
      <c r="AE120" s="51" t="s">
        <v>12</v>
      </c>
      <c r="AF120" s="51"/>
      <c r="AG120" s="51"/>
      <c r="AH120" s="51"/>
      <c r="AI120" s="51"/>
      <c r="AJ120" s="51"/>
      <c r="AK120" s="51"/>
      <c r="AL120" s="51"/>
      <c r="AM120" s="51"/>
    </row>
    <row r="121" spans="1:39">
      <c r="A121" s="117"/>
      <c r="B121" s="119"/>
      <c r="C121" s="5" t="s">
        <v>14</v>
      </c>
      <c r="D121" s="41">
        <f t="shared" si="6"/>
        <v>90139</v>
      </c>
      <c r="E121" s="27">
        <v>256.58999999999997</v>
      </c>
      <c r="F121" s="27">
        <v>498.95</v>
      </c>
      <c r="G121" s="27">
        <v>437.89</v>
      </c>
      <c r="H121" s="27">
        <v>677.96</v>
      </c>
      <c r="I121" s="27">
        <v>512.30999999999995</v>
      </c>
      <c r="J121" s="27">
        <v>833.09</v>
      </c>
      <c r="K121" s="27">
        <v>-60.06</v>
      </c>
      <c r="L121" s="27">
        <v>-104.42</v>
      </c>
      <c r="M121" s="27">
        <v>441.99</v>
      </c>
      <c r="N121" s="27">
        <v>685.95</v>
      </c>
      <c r="O121" s="27">
        <v>163.29</v>
      </c>
      <c r="P121" s="27">
        <v>219.67</v>
      </c>
      <c r="Q121" s="27">
        <v>515.89</v>
      </c>
      <c r="R121" s="27">
        <v>838.26</v>
      </c>
      <c r="S121" s="27">
        <v>68.459999999999994</v>
      </c>
      <c r="T121" s="27">
        <v>75.900000000000006</v>
      </c>
      <c r="U121" s="27">
        <v>6.41</v>
      </c>
      <c r="V121" s="27">
        <v>9.1</v>
      </c>
      <c r="W121" s="27">
        <v>-82.19</v>
      </c>
      <c r="X121" s="27">
        <v>1.72</v>
      </c>
      <c r="Y121" s="27">
        <v>59.86</v>
      </c>
      <c r="Z121" s="27">
        <v>78.38</v>
      </c>
      <c r="AA121" s="27">
        <v>41.27</v>
      </c>
      <c r="AB121" s="44">
        <v>3.032</v>
      </c>
      <c r="AC121" s="44">
        <v>0.436</v>
      </c>
      <c r="AD121" s="44">
        <v>-1.6346000000000001</v>
      </c>
      <c r="AE121" s="27"/>
      <c r="AF121" s="27"/>
      <c r="AG121" s="27"/>
      <c r="AH121" s="27"/>
      <c r="AI121" s="27"/>
      <c r="AJ121" s="27"/>
      <c r="AK121" s="27"/>
      <c r="AL121" s="27"/>
      <c r="AM121" s="27"/>
    </row>
    <row r="122" spans="1:39">
      <c r="A122" s="117"/>
      <c r="B122" s="119"/>
      <c r="C122" s="12" t="s">
        <v>11</v>
      </c>
      <c r="D122" s="41">
        <f t="shared" si="6"/>
        <v>90139</v>
      </c>
      <c r="E122" s="28">
        <v>273.55</v>
      </c>
      <c r="F122" s="28">
        <v>532.20000000000005</v>
      </c>
      <c r="G122" s="28">
        <v>474.63</v>
      </c>
      <c r="H122" s="28">
        <v>738.79</v>
      </c>
      <c r="I122" s="28">
        <v>552.87</v>
      </c>
      <c r="J122" s="28">
        <v>902.08</v>
      </c>
      <c r="K122" s="28">
        <v>-72.900000000000006</v>
      </c>
      <c r="L122" s="28">
        <v>-123.27</v>
      </c>
      <c r="M122" s="28">
        <v>480.2</v>
      </c>
      <c r="N122" s="28">
        <v>749</v>
      </c>
      <c r="O122" s="28">
        <v>173.37</v>
      </c>
      <c r="P122" s="28">
        <v>237.3</v>
      </c>
      <c r="Q122" s="28">
        <v>557.75</v>
      </c>
      <c r="R122" s="28">
        <v>909</v>
      </c>
      <c r="S122" s="28">
        <v>69.02</v>
      </c>
      <c r="T122" s="28">
        <v>76.040000000000006</v>
      </c>
      <c r="U122" s="28">
        <v>7.38</v>
      </c>
      <c r="V122" s="28">
        <v>10.37</v>
      </c>
      <c r="W122" s="28">
        <v>-81.27</v>
      </c>
      <c r="X122" s="28">
        <v>1.76</v>
      </c>
      <c r="Y122" s="28">
        <v>60.33</v>
      </c>
      <c r="Z122" s="28">
        <v>76.5</v>
      </c>
      <c r="AA122" s="28">
        <v>46.4</v>
      </c>
      <c r="AB122" s="45">
        <v>11.074999999999999</v>
      </c>
      <c r="AC122" s="45">
        <v>0.66249999999999998</v>
      </c>
      <c r="AD122" s="45">
        <v>-1.786</v>
      </c>
      <c r="AE122" s="28"/>
      <c r="AF122" s="28"/>
      <c r="AG122" s="28"/>
      <c r="AH122" s="28"/>
      <c r="AI122" s="28"/>
      <c r="AJ122" s="28"/>
      <c r="AK122" s="28"/>
      <c r="AL122" s="28"/>
      <c r="AM122" s="28"/>
    </row>
    <row r="123" spans="1:39">
      <c r="A123" s="117"/>
      <c r="B123" s="119"/>
      <c r="C123" s="3" t="s">
        <v>8</v>
      </c>
      <c r="D123" s="41">
        <f t="shared" si="6"/>
        <v>90139</v>
      </c>
      <c r="E123" s="51" t="s">
        <v>12</v>
      </c>
      <c r="F123" s="51" t="s">
        <v>12</v>
      </c>
      <c r="G123" s="51" t="s">
        <v>12</v>
      </c>
      <c r="H123" s="51" t="s">
        <v>12</v>
      </c>
      <c r="I123" s="51" t="s">
        <v>12</v>
      </c>
      <c r="J123" s="51" t="s">
        <v>12</v>
      </c>
      <c r="K123" s="51" t="s">
        <v>12</v>
      </c>
      <c r="L123" s="51" t="s">
        <v>12</v>
      </c>
      <c r="M123" s="51" t="s">
        <v>12</v>
      </c>
      <c r="N123" s="51" t="s">
        <v>12</v>
      </c>
      <c r="O123" s="51" t="s">
        <v>12</v>
      </c>
      <c r="P123" s="51" t="s">
        <v>12</v>
      </c>
      <c r="Q123" s="51" t="s">
        <v>12</v>
      </c>
      <c r="R123" s="51" t="s">
        <v>12</v>
      </c>
      <c r="S123" s="51" t="s">
        <v>12</v>
      </c>
      <c r="T123" s="51" t="s">
        <v>12</v>
      </c>
      <c r="U123" s="51" t="s">
        <v>12</v>
      </c>
      <c r="V123" s="51" t="s">
        <v>12</v>
      </c>
      <c r="W123" s="51" t="s">
        <v>12</v>
      </c>
      <c r="X123" s="51" t="s">
        <v>12</v>
      </c>
      <c r="Y123" s="51" t="s">
        <v>12</v>
      </c>
      <c r="Z123" s="51" t="s">
        <v>12</v>
      </c>
      <c r="AA123" s="51" t="s">
        <v>12</v>
      </c>
      <c r="AB123" s="51" t="s">
        <v>12</v>
      </c>
      <c r="AC123" s="51" t="s">
        <v>12</v>
      </c>
      <c r="AD123" s="51" t="s">
        <v>12</v>
      </c>
      <c r="AE123" s="51" t="s">
        <v>12</v>
      </c>
      <c r="AF123" s="51"/>
      <c r="AG123" s="51"/>
      <c r="AH123" s="51"/>
      <c r="AI123" s="51"/>
      <c r="AJ123" s="51"/>
      <c r="AK123" s="51"/>
      <c r="AL123" s="51"/>
      <c r="AM123" s="51"/>
    </row>
    <row r="124" spans="1:39">
      <c r="A124" s="117"/>
      <c r="B124" s="119"/>
      <c r="C124" s="9" t="s">
        <v>7</v>
      </c>
      <c r="D124" s="41">
        <f t="shared" si="6"/>
        <v>90139</v>
      </c>
      <c r="E124" s="30">
        <v>280.75</v>
      </c>
      <c r="F124" s="30">
        <v>573.30999999999995</v>
      </c>
      <c r="G124" s="30">
        <v>744.09</v>
      </c>
      <c r="H124" s="30">
        <v>1095.24</v>
      </c>
      <c r="I124" s="30">
        <v>801.94</v>
      </c>
      <c r="J124" s="30">
        <v>1226.55</v>
      </c>
      <c r="K124" s="30">
        <v>-117.2</v>
      </c>
      <c r="L124" s="30">
        <v>-187.66</v>
      </c>
      <c r="M124" s="30">
        <v>753.26</v>
      </c>
      <c r="N124" s="30">
        <v>1111.2</v>
      </c>
      <c r="O124" s="30">
        <v>320.52999999999997</v>
      </c>
      <c r="P124" s="30">
        <v>429.4</v>
      </c>
      <c r="Q124" s="30">
        <v>810.66</v>
      </c>
      <c r="R124" s="30">
        <v>1238.95</v>
      </c>
      <c r="S124" s="30">
        <v>64.39</v>
      </c>
      <c r="T124" s="30">
        <v>71.17</v>
      </c>
      <c r="U124" s="30">
        <v>7.99</v>
      </c>
      <c r="V124" s="30">
        <v>11.38</v>
      </c>
      <c r="W124" s="30">
        <v>-81.05</v>
      </c>
      <c r="X124" s="30">
        <v>2.68</v>
      </c>
      <c r="Y124" s="30">
        <v>69.56</v>
      </c>
      <c r="Z124" s="30">
        <v>405.33</v>
      </c>
      <c r="AA124" s="30">
        <v>89.63</v>
      </c>
      <c r="AB124" s="46">
        <v>5.67</v>
      </c>
      <c r="AC124" s="46">
        <v>0.70599999999999996</v>
      </c>
      <c r="AD124" s="46">
        <v>-1.62375</v>
      </c>
      <c r="AE124" s="30"/>
      <c r="AF124" s="30"/>
      <c r="AG124" s="30"/>
      <c r="AH124" s="30"/>
      <c r="AI124" s="30"/>
      <c r="AJ124" s="30"/>
      <c r="AK124" s="30"/>
      <c r="AL124" s="30"/>
      <c r="AM124" s="30"/>
    </row>
    <row r="125" spans="1:39">
      <c r="A125" s="117"/>
      <c r="B125" s="119"/>
      <c r="C125" s="7" t="s">
        <v>18</v>
      </c>
      <c r="D125" s="41">
        <f t="shared" si="6"/>
        <v>90139</v>
      </c>
      <c r="E125" s="51" t="s">
        <v>12</v>
      </c>
      <c r="F125" s="51" t="s">
        <v>12</v>
      </c>
      <c r="G125" s="51" t="s">
        <v>12</v>
      </c>
      <c r="H125" s="51" t="s">
        <v>12</v>
      </c>
      <c r="I125" s="51" t="s">
        <v>12</v>
      </c>
      <c r="J125" s="51" t="s">
        <v>12</v>
      </c>
      <c r="K125" s="51" t="s">
        <v>12</v>
      </c>
      <c r="L125" s="51" t="s">
        <v>12</v>
      </c>
      <c r="M125" s="51" t="s">
        <v>12</v>
      </c>
      <c r="N125" s="51" t="s">
        <v>12</v>
      </c>
      <c r="O125" s="51" t="s">
        <v>12</v>
      </c>
      <c r="P125" s="51" t="s">
        <v>12</v>
      </c>
      <c r="Q125" s="51" t="s">
        <v>12</v>
      </c>
      <c r="R125" s="51" t="s">
        <v>12</v>
      </c>
      <c r="S125" s="51" t="s">
        <v>12</v>
      </c>
      <c r="T125" s="51" t="s">
        <v>12</v>
      </c>
      <c r="U125" s="51" t="s">
        <v>12</v>
      </c>
      <c r="V125" s="51" t="s">
        <v>12</v>
      </c>
      <c r="W125" s="51" t="s">
        <v>12</v>
      </c>
      <c r="X125" s="51" t="s">
        <v>12</v>
      </c>
      <c r="Y125" s="51" t="s">
        <v>12</v>
      </c>
      <c r="Z125" s="51" t="s">
        <v>12</v>
      </c>
      <c r="AA125" s="51" t="s">
        <v>12</v>
      </c>
      <c r="AB125" s="51" t="s">
        <v>12</v>
      </c>
      <c r="AC125" s="51" t="s">
        <v>12</v>
      </c>
      <c r="AD125" s="51" t="s">
        <v>12</v>
      </c>
      <c r="AE125" s="51" t="s">
        <v>12</v>
      </c>
      <c r="AF125" s="51"/>
      <c r="AG125" s="51"/>
      <c r="AH125" s="51"/>
      <c r="AI125" s="51"/>
      <c r="AJ125" s="51"/>
      <c r="AK125" s="51"/>
      <c r="AL125" s="51"/>
      <c r="AM125" s="51"/>
    </row>
    <row r="126" spans="1:39">
      <c r="A126" s="117"/>
      <c r="B126" s="119"/>
      <c r="C126" s="6" t="s">
        <v>19</v>
      </c>
      <c r="D126" s="41">
        <f t="shared" si="6"/>
        <v>90139</v>
      </c>
      <c r="E126" s="32">
        <v>258.67</v>
      </c>
      <c r="F126" s="32">
        <v>526.92999999999995</v>
      </c>
      <c r="G126" s="32">
        <v>640.04999999999995</v>
      </c>
      <c r="H126" s="32">
        <v>955.97</v>
      </c>
      <c r="I126" s="32">
        <v>696.4</v>
      </c>
      <c r="J126" s="32">
        <v>1083.3599999999999</v>
      </c>
      <c r="K126" s="32">
        <v>-97.8</v>
      </c>
      <c r="L126" s="32">
        <v>-178.39</v>
      </c>
      <c r="M126" s="32">
        <v>647.48</v>
      </c>
      <c r="N126" s="32">
        <v>972.47</v>
      </c>
      <c r="O126" s="32">
        <v>271.83999999999997</v>
      </c>
      <c r="P126" s="32">
        <v>355.61</v>
      </c>
      <c r="Q126" s="32">
        <v>703.79</v>
      </c>
      <c r="R126" s="32">
        <v>1095.96</v>
      </c>
      <c r="S126" s="32">
        <v>65.05</v>
      </c>
      <c r="T126" s="32">
        <v>72.33</v>
      </c>
      <c r="U126" s="32">
        <v>7.68</v>
      </c>
      <c r="V126" s="32">
        <v>13.65</v>
      </c>
      <c r="W126" s="32">
        <v>-81.31</v>
      </c>
      <c r="X126" s="32">
        <v>2.5</v>
      </c>
      <c r="Y126" s="32">
        <v>68.22</v>
      </c>
      <c r="Z126" s="32">
        <v>176.21</v>
      </c>
      <c r="AA126" s="32">
        <v>114.16</v>
      </c>
      <c r="AB126" s="51" t="s">
        <v>12</v>
      </c>
      <c r="AC126" s="51" t="s">
        <v>12</v>
      </c>
      <c r="AD126" s="51" t="s">
        <v>12</v>
      </c>
      <c r="AE126" s="32"/>
      <c r="AF126" s="32"/>
      <c r="AG126" s="32"/>
      <c r="AH126" s="32"/>
      <c r="AI126" s="32"/>
      <c r="AJ126" s="32"/>
      <c r="AK126" s="32"/>
      <c r="AL126" s="32"/>
      <c r="AM126" s="32"/>
    </row>
    <row r="127" spans="1:39">
      <c r="A127" s="117"/>
      <c r="B127" s="119"/>
      <c r="C127" s="4" t="s">
        <v>23</v>
      </c>
      <c r="D127" s="41">
        <f t="shared" si="6"/>
        <v>90139</v>
      </c>
      <c r="E127" s="33">
        <v>251.71</v>
      </c>
      <c r="F127" s="33">
        <v>434.68</v>
      </c>
      <c r="G127" s="33">
        <v>514.96</v>
      </c>
      <c r="H127" s="33">
        <v>742.39</v>
      </c>
      <c r="I127" s="33">
        <v>575.22</v>
      </c>
      <c r="J127" s="33">
        <v>849.95</v>
      </c>
      <c r="K127" s="33">
        <v>-18.079999999999998</v>
      </c>
      <c r="L127" s="33">
        <v>-43.35</v>
      </c>
      <c r="M127" s="33">
        <v>515.28</v>
      </c>
      <c r="N127" s="33">
        <v>743.65</v>
      </c>
      <c r="O127" s="33">
        <v>244.06</v>
      </c>
      <c r="P127" s="33">
        <v>348.53</v>
      </c>
      <c r="Q127" s="33">
        <v>575.62</v>
      </c>
      <c r="R127" s="33">
        <v>850.38</v>
      </c>
      <c r="S127" s="33">
        <v>63.3</v>
      </c>
      <c r="T127" s="33">
        <v>69.62</v>
      </c>
      <c r="U127" s="33">
        <v>1.86</v>
      </c>
      <c r="V127" s="33">
        <v>5.89</v>
      </c>
      <c r="W127" s="33">
        <v>-87.99</v>
      </c>
      <c r="X127" s="33">
        <v>2.0499999999999998</v>
      </c>
      <c r="Y127" s="33">
        <v>63.96</v>
      </c>
      <c r="Z127" s="33">
        <v>226.68</v>
      </c>
      <c r="AA127" s="33">
        <v>73.319999999999993</v>
      </c>
      <c r="AB127" s="48">
        <v>4.3639999999999999</v>
      </c>
      <c r="AC127" s="48">
        <v>0.51400000000000001</v>
      </c>
      <c r="AD127" s="48">
        <v>-1.6519999999999999</v>
      </c>
      <c r="AE127" s="33"/>
      <c r="AF127" s="33"/>
      <c r="AG127" s="33"/>
      <c r="AH127" s="33"/>
      <c r="AI127" s="33"/>
      <c r="AJ127" s="33"/>
      <c r="AK127" s="33"/>
      <c r="AL127" s="33"/>
      <c r="AM127" s="33"/>
    </row>
    <row r="128" spans="1:39">
      <c r="A128" s="117"/>
      <c r="B128" s="119"/>
      <c r="C128" s="10" t="s">
        <v>24</v>
      </c>
      <c r="D128" s="41">
        <f t="shared" si="6"/>
        <v>90139</v>
      </c>
      <c r="E128" s="51" t="s">
        <v>12</v>
      </c>
      <c r="F128" s="51" t="s">
        <v>12</v>
      </c>
      <c r="G128" s="51" t="s">
        <v>12</v>
      </c>
      <c r="H128" s="51" t="s">
        <v>12</v>
      </c>
      <c r="I128" s="51" t="s">
        <v>12</v>
      </c>
      <c r="J128" s="51" t="s">
        <v>12</v>
      </c>
      <c r="K128" s="51" t="s">
        <v>12</v>
      </c>
      <c r="L128" s="51" t="s">
        <v>12</v>
      </c>
      <c r="M128" s="51" t="s">
        <v>12</v>
      </c>
      <c r="N128" s="51" t="s">
        <v>12</v>
      </c>
      <c r="O128" s="51" t="s">
        <v>12</v>
      </c>
      <c r="P128" s="51" t="s">
        <v>12</v>
      </c>
      <c r="Q128" s="51" t="s">
        <v>12</v>
      </c>
      <c r="R128" s="51" t="s">
        <v>12</v>
      </c>
      <c r="S128" s="51" t="s">
        <v>12</v>
      </c>
      <c r="T128" s="51" t="s">
        <v>12</v>
      </c>
      <c r="U128" s="51" t="s">
        <v>12</v>
      </c>
      <c r="V128" s="51" t="s">
        <v>12</v>
      </c>
      <c r="W128" s="51" t="s">
        <v>12</v>
      </c>
      <c r="X128" s="51" t="s">
        <v>12</v>
      </c>
      <c r="Y128" s="51" t="s">
        <v>12</v>
      </c>
      <c r="Z128" s="51" t="s">
        <v>12</v>
      </c>
      <c r="AA128" s="51" t="s">
        <v>12</v>
      </c>
      <c r="AB128" s="51" t="s">
        <v>12</v>
      </c>
      <c r="AC128" s="51" t="s">
        <v>12</v>
      </c>
      <c r="AD128" s="51" t="s">
        <v>12</v>
      </c>
      <c r="AE128" s="51" t="s">
        <v>12</v>
      </c>
      <c r="AF128" s="51"/>
      <c r="AG128" s="51"/>
      <c r="AH128" s="51"/>
      <c r="AI128" s="51"/>
      <c r="AJ128" s="51"/>
      <c r="AK128" s="51"/>
      <c r="AL128" s="51"/>
      <c r="AM128" s="51"/>
    </row>
    <row r="129" spans="1:39">
      <c r="A129" s="117"/>
      <c r="B129" s="119"/>
      <c r="C129" s="11" t="s">
        <v>25</v>
      </c>
      <c r="D129" s="41">
        <f t="shared" si="6"/>
        <v>90139</v>
      </c>
      <c r="E129" s="51" t="s">
        <v>12</v>
      </c>
      <c r="F129" s="51" t="s">
        <v>12</v>
      </c>
      <c r="G129" s="51" t="s">
        <v>12</v>
      </c>
      <c r="H129" s="51" t="s">
        <v>12</v>
      </c>
      <c r="I129" s="51" t="s">
        <v>12</v>
      </c>
      <c r="J129" s="51" t="s">
        <v>12</v>
      </c>
      <c r="K129" s="51" t="s">
        <v>12</v>
      </c>
      <c r="L129" s="51" t="s">
        <v>12</v>
      </c>
      <c r="M129" s="51" t="s">
        <v>12</v>
      </c>
      <c r="N129" s="51" t="s">
        <v>12</v>
      </c>
      <c r="O129" s="51" t="s">
        <v>12</v>
      </c>
      <c r="P129" s="51" t="s">
        <v>12</v>
      </c>
      <c r="Q129" s="51" t="s">
        <v>12</v>
      </c>
      <c r="R129" s="51" t="s">
        <v>12</v>
      </c>
      <c r="S129" s="51" t="s">
        <v>12</v>
      </c>
      <c r="T129" s="51" t="s">
        <v>12</v>
      </c>
      <c r="U129" s="51" t="s">
        <v>12</v>
      </c>
      <c r="V129" s="51" t="s">
        <v>12</v>
      </c>
      <c r="W129" s="51" t="s">
        <v>12</v>
      </c>
      <c r="X129" s="51" t="s">
        <v>12</v>
      </c>
      <c r="Y129" s="51" t="s">
        <v>12</v>
      </c>
      <c r="Z129" s="51" t="s">
        <v>12</v>
      </c>
      <c r="AA129" s="51" t="s">
        <v>12</v>
      </c>
      <c r="AB129" s="51" t="s">
        <v>12</v>
      </c>
      <c r="AC129" s="51" t="s">
        <v>12</v>
      </c>
      <c r="AD129" s="51" t="s">
        <v>12</v>
      </c>
      <c r="AE129" s="51" t="s">
        <v>12</v>
      </c>
      <c r="AF129" s="51"/>
      <c r="AG129" s="51"/>
      <c r="AH129" s="51"/>
      <c r="AI129" s="51"/>
      <c r="AJ129" s="51"/>
      <c r="AK129" s="51"/>
      <c r="AL129" s="51"/>
      <c r="AM129" s="51"/>
    </row>
    <row r="130" spans="1:39">
      <c r="A130" s="117"/>
      <c r="B130" s="119"/>
      <c r="C130" s="8" t="s">
        <v>26</v>
      </c>
      <c r="D130" s="41">
        <f t="shared" si="6"/>
        <v>90139</v>
      </c>
      <c r="E130" s="51" t="s">
        <v>12</v>
      </c>
      <c r="F130" s="51" t="s">
        <v>12</v>
      </c>
      <c r="G130" s="51" t="s">
        <v>12</v>
      </c>
      <c r="H130" s="51" t="s">
        <v>12</v>
      </c>
      <c r="I130" s="51" t="s">
        <v>12</v>
      </c>
      <c r="J130" s="51" t="s">
        <v>12</v>
      </c>
      <c r="K130" s="51" t="s">
        <v>12</v>
      </c>
      <c r="L130" s="51" t="s">
        <v>12</v>
      </c>
      <c r="M130" s="51" t="s">
        <v>12</v>
      </c>
      <c r="N130" s="51" t="s">
        <v>12</v>
      </c>
      <c r="O130" s="51" t="s">
        <v>12</v>
      </c>
      <c r="P130" s="51" t="s">
        <v>12</v>
      </c>
      <c r="Q130" s="51" t="s">
        <v>12</v>
      </c>
      <c r="R130" s="51" t="s">
        <v>12</v>
      </c>
      <c r="S130" s="51" t="s">
        <v>12</v>
      </c>
      <c r="T130" s="51" t="s">
        <v>12</v>
      </c>
      <c r="U130" s="51" t="s">
        <v>12</v>
      </c>
      <c r="V130" s="51" t="s">
        <v>12</v>
      </c>
      <c r="W130" s="51" t="s">
        <v>12</v>
      </c>
      <c r="X130" s="51" t="s">
        <v>12</v>
      </c>
      <c r="Y130" s="51" t="s">
        <v>12</v>
      </c>
      <c r="Z130" s="51" t="s">
        <v>12</v>
      </c>
      <c r="AA130" s="51" t="s">
        <v>12</v>
      </c>
      <c r="AB130" s="51" t="s">
        <v>12</v>
      </c>
      <c r="AC130" s="51" t="s">
        <v>12</v>
      </c>
      <c r="AD130" s="51" t="s">
        <v>12</v>
      </c>
      <c r="AE130" s="51" t="s">
        <v>12</v>
      </c>
      <c r="AF130" s="51"/>
      <c r="AG130" s="51"/>
      <c r="AH130" s="51"/>
      <c r="AI130" s="51"/>
      <c r="AJ130" s="51"/>
      <c r="AK130" s="51"/>
      <c r="AL130" s="51"/>
      <c r="AM130" s="51"/>
    </row>
    <row r="131" spans="1:39">
      <c r="A131" s="117"/>
      <c r="B131" s="119"/>
      <c r="C131" s="19" t="s">
        <v>27</v>
      </c>
      <c r="D131" s="41">
        <f t="shared" si="6"/>
        <v>90139</v>
      </c>
      <c r="E131" s="38">
        <v>289.27</v>
      </c>
      <c r="F131" s="38">
        <v>575.53</v>
      </c>
      <c r="G131" s="38">
        <v>720.16</v>
      </c>
      <c r="H131" s="38">
        <v>1053.04</v>
      </c>
      <c r="I131" s="38">
        <v>782.4</v>
      </c>
      <c r="J131" s="38">
        <v>1194.33</v>
      </c>
      <c r="K131" s="38">
        <v>-115.79</v>
      </c>
      <c r="L131" s="38">
        <v>-186.96</v>
      </c>
      <c r="M131" s="38">
        <v>729.41</v>
      </c>
      <c r="N131" s="38">
        <v>1069.51</v>
      </c>
      <c r="O131" s="38">
        <v>302.64999999999998</v>
      </c>
      <c r="P131" s="42">
        <v>402.83</v>
      </c>
      <c r="Q131" s="38">
        <v>791.13</v>
      </c>
      <c r="R131" s="38">
        <v>1205.73</v>
      </c>
      <c r="S131" s="38">
        <v>65.11</v>
      </c>
      <c r="T131" s="38">
        <v>71.900000000000006</v>
      </c>
      <c r="U131" s="38">
        <v>8.17</v>
      </c>
      <c r="V131" s="38">
        <v>15.52</v>
      </c>
      <c r="W131" s="38">
        <v>-80.87</v>
      </c>
      <c r="X131" s="38">
        <v>2.52</v>
      </c>
      <c r="Y131" s="38">
        <v>68.37</v>
      </c>
      <c r="Z131" s="38">
        <v>307.66000000000003</v>
      </c>
      <c r="AA131" s="38">
        <v>62.75</v>
      </c>
      <c r="AB131" s="50">
        <v>4.3239999999999998</v>
      </c>
      <c r="AC131" s="50">
        <v>0.746</v>
      </c>
      <c r="AD131" s="50">
        <v>-1.849</v>
      </c>
      <c r="AE131" s="38"/>
      <c r="AF131" s="38"/>
      <c r="AG131" s="38"/>
      <c r="AH131" s="38"/>
      <c r="AI131" s="38"/>
      <c r="AJ131" s="38"/>
      <c r="AK131" s="38"/>
      <c r="AL131" s="38"/>
      <c r="AM131" s="38"/>
    </row>
    <row r="132" spans="1:39">
      <c r="A132" s="117"/>
      <c r="B132" s="120"/>
      <c r="C132" s="21" t="s">
        <v>28</v>
      </c>
      <c r="D132" s="41">
        <f t="shared" si="6"/>
        <v>90139</v>
      </c>
      <c r="E132" s="37">
        <v>270.86</v>
      </c>
      <c r="F132" s="37">
        <v>532.48</v>
      </c>
      <c r="G132" s="37">
        <v>610.03</v>
      </c>
      <c r="H132" s="37">
        <v>894.59</v>
      </c>
      <c r="I132" s="37">
        <v>672.95</v>
      </c>
      <c r="J132" s="37">
        <v>1035.54</v>
      </c>
      <c r="K132" s="37">
        <v>-89.28</v>
      </c>
      <c r="L132" s="37">
        <v>-145.80000000000001</v>
      </c>
      <c r="M132" s="37">
        <v>616.53</v>
      </c>
      <c r="N132" s="37">
        <v>906.39</v>
      </c>
      <c r="O132" s="37">
        <v>253.38</v>
      </c>
      <c r="P132" s="37">
        <v>337.51</v>
      </c>
      <c r="Q132" s="37">
        <v>678.97</v>
      </c>
      <c r="R132" s="37">
        <v>1043.45</v>
      </c>
      <c r="S132" s="37">
        <v>65.75</v>
      </c>
      <c r="T132" s="37">
        <v>72.430000000000007</v>
      </c>
      <c r="U132" s="37">
        <v>7.46</v>
      </c>
      <c r="V132" s="37">
        <v>10.84</v>
      </c>
      <c r="W132" s="37">
        <v>-81.67</v>
      </c>
      <c r="X132" s="37">
        <v>2.2799999999999998</v>
      </c>
      <c r="Y132" s="37">
        <v>66.28</v>
      </c>
      <c r="Z132" s="37">
        <v>118.21</v>
      </c>
      <c r="AA132" s="37">
        <v>63.18</v>
      </c>
      <c r="AB132" s="51" t="s">
        <v>12</v>
      </c>
      <c r="AC132" s="51" t="s">
        <v>12</v>
      </c>
      <c r="AD132" s="51" t="s">
        <v>12</v>
      </c>
      <c r="AE132" s="37"/>
      <c r="AF132" s="37"/>
      <c r="AG132" s="37"/>
      <c r="AH132" s="37"/>
      <c r="AI132" s="37"/>
      <c r="AJ132" s="37"/>
      <c r="AK132" s="37"/>
      <c r="AL132" s="37"/>
      <c r="AM132" s="37"/>
    </row>
    <row r="133" spans="1:39">
      <c r="A133" s="117"/>
      <c r="B133" s="118">
        <v>10</v>
      </c>
      <c r="C133" s="2" t="s">
        <v>16</v>
      </c>
      <c r="D133" s="41">
        <f>D119+11111+139</f>
        <v>101389</v>
      </c>
      <c r="E133" s="25">
        <v>258.7</v>
      </c>
      <c r="F133" s="25">
        <v>536.70000000000005</v>
      </c>
      <c r="G133" s="25">
        <v>688.81</v>
      </c>
      <c r="H133" s="25">
        <v>1018.13</v>
      </c>
      <c r="I133" s="25">
        <v>742.37</v>
      </c>
      <c r="J133" s="25">
        <v>1141.18</v>
      </c>
      <c r="K133" s="25">
        <v>-97.7</v>
      </c>
      <c r="L133" s="25">
        <v>-169.83</v>
      </c>
      <c r="M133" s="25">
        <v>695.7</v>
      </c>
      <c r="N133" s="25">
        <v>1032.2</v>
      </c>
      <c r="O133" s="25">
        <v>304.33</v>
      </c>
      <c r="P133" s="25">
        <v>402.3</v>
      </c>
      <c r="Q133" s="25">
        <v>748.98</v>
      </c>
      <c r="R133" s="25">
        <v>1151.49</v>
      </c>
      <c r="S133" s="25">
        <v>63.62</v>
      </c>
      <c r="T133" s="25">
        <v>70.98</v>
      </c>
      <c r="U133" s="25">
        <v>7</v>
      </c>
      <c r="V133" s="25">
        <v>10.039999999999999</v>
      </c>
      <c r="W133" s="25">
        <v>-81.93</v>
      </c>
      <c r="X133" s="25">
        <v>2.69</v>
      </c>
      <c r="Y133" s="25">
        <v>69.599999999999994</v>
      </c>
      <c r="Z133" s="25">
        <v>291.92</v>
      </c>
      <c r="AA133" s="25">
        <v>70.849999999999994</v>
      </c>
      <c r="AB133" s="51" t="s">
        <v>12</v>
      </c>
      <c r="AC133" s="51" t="s">
        <v>12</v>
      </c>
      <c r="AD133" s="51" t="s">
        <v>12</v>
      </c>
      <c r="AE133" s="25"/>
      <c r="AF133" s="25"/>
      <c r="AG133" s="25"/>
      <c r="AH133" s="25"/>
      <c r="AI133" s="25"/>
      <c r="AJ133" s="25"/>
      <c r="AK133" s="25"/>
      <c r="AL133" s="25"/>
      <c r="AM133" s="25"/>
    </row>
    <row r="134" spans="1:39">
      <c r="A134" s="117"/>
      <c r="B134" s="119"/>
      <c r="C134" s="1" t="s">
        <v>15</v>
      </c>
      <c r="D134" s="41">
        <f t="shared" ref="D134:D146" si="7">D120+11111+139</f>
        <v>101389</v>
      </c>
      <c r="E134" s="26">
        <v>260.06</v>
      </c>
      <c r="F134" s="26">
        <v>511.42</v>
      </c>
      <c r="G134" s="26">
        <v>578.09</v>
      </c>
      <c r="H134" s="26">
        <v>832.03</v>
      </c>
      <c r="I134" s="26">
        <v>640.13</v>
      </c>
      <c r="J134" s="26">
        <v>970.48</v>
      </c>
      <c r="K134" s="26">
        <v>-79.790000000000006</v>
      </c>
      <c r="L134" s="26">
        <v>-129.44999999999999</v>
      </c>
      <c r="M134" s="26">
        <v>583.57000000000005</v>
      </c>
      <c r="N134" s="26">
        <v>842.04</v>
      </c>
      <c r="O134" s="26">
        <v>242.16</v>
      </c>
      <c r="P134" s="26">
        <v>310.07</v>
      </c>
      <c r="Q134" s="26">
        <v>645.19000000000005</v>
      </c>
      <c r="R134" s="26">
        <v>977.26</v>
      </c>
      <c r="S134" s="26">
        <v>65.52</v>
      </c>
      <c r="T134" s="26">
        <v>72.72</v>
      </c>
      <c r="U134" s="26">
        <v>6.97</v>
      </c>
      <c r="V134" s="26">
        <v>10.31</v>
      </c>
      <c r="W134" s="26">
        <v>-82.14</v>
      </c>
      <c r="X134" s="26">
        <v>2.2400000000000002</v>
      </c>
      <c r="Y134" s="26">
        <v>65.98</v>
      </c>
      <c r="Z134" s="26">
        <v>143.22</v>
      </c>
      <c r="AA134" s="26">
        <v>51.39</v>
      </c>
      <c r="AB134" s="43">
        <v>4.3</v>
      </c>
      <c r="AC134" s="43">
        <v>0.57799999999999996</v>
      </c>
      <c r="AD134" s="43">
        <v>-1.454</v>
      </c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>
      <c r="A135" s="117"/>
      <c r="B135" s="119"/>
      <c r="C135" s="5" t="s">
        <v>14</v>
      </c>
      <c r="D135" s="41">
        <f t="shared" si="7"/>
        <v>101389</v>
      </c>
      <c r="E135" s="27">
        <v>258.5</v>
      </c>
      <c r="F135" s="27">
        <v>511.7</v>
      </c>
      <c r="G135" s="27">
        <v>486.77</v>
      </c>
      <c r="H135" s="27">
        <v>716.74</v>
      </c>
      <c r="I135" s="27">
        <v>557.97</v>
      </c>
      <c r="J135" s="27">
        <v>868.56</v>
      </c>
      <c r="K135" s="27">
        <v>-67.989999999999995</v>
      </c>
      <c r="L135" s="27">
        <v>-110.73</v>
      </c>
      <c r="M135" s="27">
        <v>491.5</v>
      </c>
      <c r="N135" s="27">
        <v>725.24</v>
      </c>
      <c r="O135" s="27">
        <v>189.85</v>
      </c>
      <c r="P135" s="27">
        <v>243.43</v>
      </c>
      <c r="Q135" s="27">
        <v>562.19000000000005</v>
      </c>
      <c r="R135" s="27">
        <v>875.29</v>
      </c>
      <c r="S135" s="27">
        <v>67.14</v>
      </c>
      <c r="T135" s="27">
        <v>75.319999999999993</v>
      </c>
      <c r="U135" s="27">
        <v>6.74</v>
      </c>
      <c r="V135" s="27">
        <v>10.41</v>
      </c>
      <c r="W135" s="27">
        <v>-82.05</v>
      </c>
      <c r="X135" s="27">
        <v>1.9</v>
      </c>
      <c r="Y135" s="27">
        <v>62.26</v>
      </c>
      <c r="Z135" s="27">
        <v>96.33</v>
      </c>
      <c r="AA135" s="27">
        <v>59.2</v>
      </c>
      <c r="AB135" s="44">
        <v>3.984</v>
      </c>
      <c r="AC135" s="44">
        <v>0.53800000000000003</v>
      </c>
      <c r="AD135" s="44">
        <v>-1.7250000000000001</v>
      </c>
      <c r="AE135" s="27"/>
      <c r="AF135" s="27"/>
      <c r="AG135" s="27"/>
      <c r="AH135" s="27"/>
      <c r="AI135" s="27"/>
      <c r="AJ135" s="27"/>
      <c r="AK135" s="27"/>
      <c r="AL135" s="27"/>
      <c r="AM135" s="27"/>
    </row>
    <row r="136" spans="1:39">
      <c r="A136" s="117"/>
      <c r="B136" s="119"/>
      <c r="C136" s="12" t="s">
        <v>11</v>
      </c>
      <c r="D136" s="41">
        <f t="shared" si="7"/>
        <v>101389</v>
      </c>
      <c r="E136" s="28">
        <v>274.55</v>
      </c>
      <c r="F136" s="28">
        <v>559.37</v>
      </c>
      <c r="G136" s="28">
        <v>544.13</v>
      </c>
      <c r="H136" s="28">
        <v>800.99</v>
      </c>
      <c r="I136" s="28">
        <v>615.80999999999995</v>
      </c>
      <c r="J136" s="28">
        <v>970.72</v>
      </c>
      <c r="K136" s="28">
        <v>-87.28</v>
      </c>
      <c r="L136" s="28">
        <v>-136.13</v>
      </c>
      <c r="M136" s="28">
        <v>551.09</v>
      </c>
      <c r="N136" s="28">
        <v>812.48</v>
      </c>
      <c r="O136" s="28">
        <v>209.66</v>
      </c>
      <c r="P136" s="28">
        <v>297.35000000000002</v>
      </c>
      <c r="Q136" s="28">
        <v>622.14</v>
      </c>
      <c r="R136" s="28">
        <v>979.94</v>
      </c>
      <c r="S136" s="28">
        <v>68.08</v>
      </c>
      <c r="T136" s="28">
        <v>75.3</v>
      </c>
      <c r="U136" s="28">
        <v>8.43</v>
      </c>
      <c r="V136" s="28">
        <v>13.33</v>
      </c>
      <c r="W136" s="28">
        <v>-80.89</v>
      </c>
      <c r="X136" s="28">
        <v>2.0099999999999998</v>
      </c>
      <c r="Y136" s="28">
        <v>63.52</v>
      </c>
      <c r="Z136" s="28">
        <v>169.75</v>
      </c>
      <c r="AA136" s="28">
        <v>48.02</v>
      </c>
      <c r="AB136" s="51" t="s">
        <v>12</v>
      </c>
      <c r="AC136" s="51" t="s">
        <v>12</v>
      </c>
      <c r="AD136" s="51" t="s">
        <v>12</v>
      </c>
      <c r="AE136" s="28"/>
      <c r="AF136" s="28"/>
      <c r="AG136" s="28"/>
      <c r="AH136" s="28"/>
      <c r="AI136" s="28"/>
      <c r="AJ136" s="28"/>
      <c r="AK136" s="28"/>
      <c r="AL136" s="28"/>
      <c r="AM136" s="28"/>
    </row>
    <row r="137" spans="1:39">
      <c r="A137" s="117"/>
      <c r="B137" s="119"/>
      <c r="C137" s="3" t="s">
        <v>8</v>
      </c>
      <c r="D137" s="41">
        <f t="shared" si="7"/>
        <v>101389</v>
      </c>
      <c r="E137" s="51" t="s">
        <v>12</v>
      </c>
      <c r="F137" s="51" t="s">
        <v>12</v>
      </c>
      <c r="G137" s="51" t="s">
        <v>12</v>
      </c>
      <c r="H137" s="51" t="s">
        <v>12</v>
      </c>
      <c r="I137" s="51" t="s">
        <v>12</v>
      </c>
      <c r="J137" s="51" t="s">
        <v>12</v>
      </c>
      <c r="K137" s="51" t="s">
        <v>12</v>
      </c>
      <c r="L137" s="51" t="s">
        <v>12</v>
      </c>
      <c r="M137" s="51" t="s">
        <v>12</v>
      </c>
      <c r="N137" s="51" t="s">
        <v>12</v>
      </c>
      <c r="O137" s="51" t="s">
        <v>12</v>
      </c>
      <c r="P137" s="51" t="s">
        <v>12</v>
      </c>
      <c r="Q137" s="51" t="s">
        <v>12</v>
      </c>
      <c r="R137" s="51" t="s">
        <v>12</v>
      </c>
      <c r="S137" s="51" t="s">
        <v>12</v>
      </c>
      <c r="T137" s="51" t="s">
        <v>12</v>
      </c>
      <c r="U137" s="51" t="s">
        <v>12</v>
      </c>
      <c r="V137" s="51" t="s">
        <v>12</v>
      </c>
      <c r="W137" s="51" t="s">
        <v>12</v>
      </c>
      <c r="X137" s="51" t="s">
        <v>12</v>
      </c>
      <c r="Y137" s="51" t="s">
        <v>12</v>
      </c>
      <c r="Z137" s="51" t="s">
        <v>12</v>
      </c>
      <c r="AA137" s="51" t="s">
        <v>12</v>
      </c>
      <c r="AB137" s="51" t="s">
        <v>12</v>
      </c>
      <c r="AC137" s="51" t="s">
        <v>12</v>
      </c>
      <c r="AD137" s="51" t="s">
        <v>12</v>
      </c>
      <c r="AE137" s="51" t="s">
        <v>12</v>
      </c>
      <c r="AF137" s="51"/>
      <c r="AG137" s="51"/>
      <c r="AH137" s="51"/>
      <c r="AI137" s="51"/>
      <c r="AJ137" s="51"/>
      <c r="AK137" s="51"/>
      <c r="AL137" s="51"/>
      <c r="AM137" s="51"/>
    </row>
    <row r="138" spans="1:39">
      <c r="A138" s="117"/>
      <c r="B138" s="119"/>
      <c r="C138" s="9" t="s">
        <v>7</v>
      </c>
      <c r="D138" s="41">
        <f t="shared" si="7"/>
        <v>101389</v>
      </c>
      <c r="E138" s="51" t="s">
        <v>12</v>
      </c>
      <c r="F138" s="51" t="s">
        <v>12</v>
      </c>
      <c r="G138" s="51" t="s">
        <v>12</v>
      </c>
      <c r="H138" s="51" t="s">
        <v>12</v>
      </c>
      <c r="I138" s="51" t="s">
        <v>12</v>
      </c>
      <c r="J138" s="51" t="s">
        <v>12</v>
      </c>
      <c r="K138" s="51" t="s">
        <v>12</v>
      </c>
      <c r="L138" s="51" t="s">
        <v>12</v>
      </c>
      <c r="M138" s="51" t="s">
        <v>12</v>
      </c>
      <c r="N138" s="51" t="s">
        <v>12</v>
      </c>
      <c r="O138" s="51" t="s">
        <v>12</v>
      </c>
      <c r="P138" s="51" t="s">
        <v>12</v>
      </c>
      <c r="Q138" s="51" t="s">
        <v>12</v>
      </c>
      <c r="R138" s="51" t="s">
        <v>12</v>
      </c>
      <c r="S138" s="51" t="s">
        <v>12</v>
      </c>
      <c r="T138" s="51" t="s">
        <v>12</v>
      </c>
      <c r="U138" s="51" t="s">
        <v>12</v>
      </c>
      <c r="V138" s="51" t="s">
        <v>12</v>
      </c>
      <c r="W138" s="51" t="s">
        <v>12</v>
      </c>
      <c r="X138" s="51" t="s">
        <v>12</v>
      </c>
      <c r="Y138" s="51" t="s">
        <v>12</v>
      </c>
      <c r="Z138" s="51" t="s">
        <v>12</v>
      </c>
      <c r="AA138" s="51" t="s">
        <v>12</v>
      </c>
      <c r="AB138" s="51" t="s">
        <v>12</v>
      </c>
      <c r="AC138" s="51" t="s">
        <v>12</v>
      </c>
      <c r="AD138" s="51" t="s">
        <v>12</v>
      </c>
      <c r="AE138" s="51" t="s">
        <v>12</v>
      </c>
      <c r="AF138" s="51"/>
      <c r="AG138" s="51"/>
      <c r="AH138" s="51"/>
      <c r="AI138" s="51"/>
      <c r="AJ138" s="51"/>
      <c r="AK138" s="51"/>
      <c r="AL138" s="51"/>
      <c r="AM138" s="51"/>
    </row>
    <row r="139" spans="1:39">
      <c r="A139" s="117"/>
      <c r="B139" s="119"/>
      <c r="C139" s="7" t="s">
        <v>18</v>
      </c>
      <c r="D139" s="41">
        <f t="shared" si="7"/>
        <v>101389</v>
      </c>
      <c r="E139" s="51" t="s">
        <v>12</v>
      </c>
      <c r="F139" s="51" t="s">
        <v>12</v>
      </c>
      <c r="G139" s="51" t="s">
        <v>12</v>
      </c>
      <c r="H139" s="51" t="s">
        <v>12</v>
      </c>
      <c r="I139" s="51" t="s">
        <v>12</v>
      </c>
      <c r="J139" s="51" t="s">
        <v>12</v>
      </c>
      <c r="K139" s="51" t="s">
        <v>12</v>
      </c>
      <c r="L139" s="51" t="s">
        <v>12</v>
      </c>
      <c r="M139" s="51" t="s">
        <v>12</v>
      </c>
      <c r="N139" s="51" t="s">
        <v>12</v>
      </c>
      <c r="O139" s="51" t="s">
        <v>12</v>
      </c>
      <c r="P139" s="51" t="s">
        <v>12</v>
      </c>
      <c r="Q139" s="51" t="s">
        <v>12</v>
      </c>
      <c r="R139" s="51" t="s">
        <v>12</v>
      </c>
      <c r="S139" s="51" t="s">
        <v>12</v>
      </c>
      <c r="T139" s="51" t="s">
        <v>12</v>
      </c>
      <c r="U139" s="51" t="s">
        <v>12</v>
      </c>
      <c r="V139" s="51" t="s">
        <v>12</v>
      </c>
      <c r="W139" s="51" t="s">
        <v>12</v>
      </c>
      <c r="X139" s="51" t="s">
        <v>12</v>
      </c>
      <c r="Y139" s="51" t="s">
        <v>12</v>
      </c>
      <c r="Z139" s="51" t="s">
        <v>12</v>
      </c>
      <c r="AA139" s="51" t="s">
        <v>12</v>
      </c>
      <c r="AB139" s="51" t="s">
        <v>12</v>
      </c>
      <c r="AC139" s="51" t="s">
        <v>12</v>
      </c>
      <c r="AD139" s="51" t="s">
        <v>12</v>
      </c>
      <c r="AE139" s="51" t="s">
        <v>12</v>
      </c>
      <c r="AF139" s="51"/>
      <c r="AG139" s="51"/>
      <c r="AH139" s="51"/>
      <c r="AI139" s="51"/>
      <c r="AJ139" s="51"/>
      <c r="AK139" s="51"/>
      <c r="AL139" s="51"/>
      <c r="AM139" s="51"/>
    </row>
    <row r="140" spans="1:39">
      <c r="A140" s="117"/>
      <c r="B140" s="119"/>
      <c r="C140" s="6" t="s">
        <v>19</v>
      </c>
      <c r="D140" s="41">
        <f t="shared" si="7"/>
        <v>101389</v>
      </c>
      <c r="E140" s="51" t="s">
        <v>12</v>
      </c>
      <c r="F140" s="51" t="s">
        <v>12</v>
      </c>
      <c r="G140" s="51" t="s">
        <v>12</v>
      </c>
      <c r="H140" s="51" t="s">
        <v>12</v>
      </c>
      <c r="I140" s="51" t="s">
        <v>12</v>
      </c>
      <c r="J140" s="51" t="s">
        <v>12</v>
      </c>
      <c r="K140" s="51" t="s">
        <v>12</v>
      </c>
      <c r="L140" s="51" t="s">
        <v>12</v>
      </c>
      <c r="M140" s="51" t="s">
        <v>12</v>
      </c>
      <c r="N140" s="51" t="s">
        <v>12</v>
      </c>
      <c r="O140" s="51" t="s">
        <v>12</v>
      </c>
      <c r="P140" s="51" t="s">
        <v>12</v>
      </c>
      <c r="Q140" s="51" t="s">
        <v>12</v>
      </c>
      <c r="R140" s="51" t="s">
        <v>12</v>
      </c>
      <c r="S140" s="51" t="s">
        <v>12</v>
      </c>
      <c r="T140" s="51" t="s">
        <v>12</v>
      </c>
      <c r="U140" s="51" t="s">
        <v>12</v>
      </c>
      <c r="V140" s="51" t="s">
        <v>12</v>
      </c>
      <c r="W140" s="51" t="s">
        <v>12</v>
      </c>
      <c r="X140" s="51" t="s">
        <v>12</v>
      </c>
      <c r="Y140" s="51" t="s">
        <v>12</v>
      </c>
      <c r="Z140" s="51" t="s">
        <v>12</v>
      </c>
      <c r="AA140" s="51" t="s">
        <v>12</v>
      </c>
      <c r="AB140" s="51" t="s">
        <v>12</v>
      </c>
      <c r="AC140" s="51" t="s">
        <v>12</v>
      </c>
      <c r="AD140" s="51" t="s">
        <v>12</v>
      </c>
      <c r="AE140" s="51" t="s">
        <v>12</v>
      </c>
      <c r="AF140" s="51"/>
      <c r="AG140" s="51"/>
      <c r="AH140" s="51"/>
      <c r="AI140" s="51"/>
      <c r="AJ140" s="51"/>
      <c r="AK140" s="51"/>
      <c r="AL140" s="51"/>
      <c r="AM140" s="51"/>
    </row>
    <row r="141" spans="1:39">
      <c r="A141" s="117"/>
      <c r="B141" s="119"/>
      <c r="C141" s="4" t="s">
        <v>23</v>
      </c>
      <c r="D141" s="41">
        <f t="shared" si="7"/>
        <v>101389</v>
      </c>
      <c r="E141" s="33">
        <v>286.51</v>
      </c>
      <c r="F141" s="33">
        <v>601.58000000000004</v>
      </c>
      <c r="G141" s="33">
        <v>872.47</v>
      </c>
      <c r="H141" s="33">
        <v>1292.95</v>
      </c>
      <c r="I141" s="33">
        <v>925.51</v>
      </c>
      <c r="J141" s="33">
        <v>1416.02</v>
      </c>
      <c r="K141" s="33">
        <v>-130.69999999999999</v>
      </c>
      <c r="L141" s="33">
        <v>-227.34</v>
      </c>
      <c r="M141" s="33">
        <v>882.2</v>
      </c>
      <c r="N141" s="33">
        <v>1312.78</v>
      </c>
      <c r="O141" s="33">
        <v>394.88</v>
      </c>
      <c r="P141" s="33">
        <v>551.86</v>
      </c>
      <c r="Q141" s="33">
        <v>934.97</v>
      </c>
      <c r="R141" s="33">
        <v>1426.96</v>
      </c>
      <c r="S141" s="33">
        <v>63.2</v>
      </c>
      <c r="T141" s="33">
        <v>69.41</v>
      </c>
      <c r="U141" s="33">
        <v>7.97</v>
      </c>
      <c r="V141" s="33">
        <v>11.29</v>
      </c>
      <c r="W141" s="33">
        <v>-81.48</v>
      </c>
      <c r="X141" s="33">
        <v>3.08</v>
      </c>
      <c r="Y141" s="33">
        <v>72.010000000000005</v>
      </c>
      <c r="Z141" s="33">
        <v>460.23</v>
      </c>
      <c r="AA141" s="33">
        <v>74.209999999999994</v>
      </c>
      <c r="AB141" s="48">
        <v>3.95</v>
      </c>
      <c r="AC141" s="48">
        <v>0.59</v>
      </c>
      <c r="AD141" s="48">
        <v>-1.4139999999999999</v>
      </c>
      <c r="AE141" s="33"/>
      <c r="AF141" s="33"/>
      <c r="AG141" s="33"/>
      <c r="AH141" s="33"/>
      <c r="AI141" s="33"/>
      <c r="AJ141" s="33"/>
      <c r="AK141" s="33"/>
      <c r="AL141" s="33"/>
      <c r="AM141" s="33"/>
    </row>
    <row r="142" spans="1:39">
      <c r="A142" s="117"/>
      <c r="B142" s="119"/>
      <c r="C142" s="10" t="s">
        <v>24</v>
      </c>
      <c r="D142" s="41">
        <f t="shared" si="7"/>
        <v>101389</v>
      </c>
      <c r="E142" s="51" t="s">
        <v>12</v>
      </c>
      <c r="F142" s="51" t="s">
        <v>12</v>
      </c>
      <c r="G142" s="51" t="s">
        <v>12</v>
      </c>
      <c r="H142" s="51" t="s">
        <v>12</v>
      </c>
      <c r="I142" s="51" t="s">
        <v>12</v>
      </c>
      <c r="J142" s="51" t="s">
        <v>12</v>
      </c>
      <c r="K142" s="51" t="s">
        <v>12</v>
      </c>
      <c r="L142" s="51" t="s">
        <v>12</v>
      </c>
      <c r="M142" s="51" t="s">
        <v>12</v>
      </c>
      <c r="N142" s="51" t="s">
        <v>12</v>
      </c>
      <c r="O142" s="51" t="s">
        <v>12</v>
      </c>
      <c r="P142" s="51" t="s">
        <v>12</v>
      </c>
      <c r="Q142" s="51" t="s">
        <v>12</v>
      </c>
      <c r="R142" s="51" t="s">
        <v>12</v>
      </c>
      <c r="S142" s="51" t="s">
        <v>12</v>
      </c>
      <c r="T142" s="51" t="s">
        <v>12</v>
      </c>
      <c r="U142" s="51" t="s">
        <v>12</v>
      </c>
      <c r="V142" s="51" t="s">
        <v>12</v>
      </c>
      <c r="W142" s="51" t="s">
        <v>12</v>
      </c>
      <c r="X142" s="51" t="s">
        <v>12</v>
      </c>
      <c r="Y142" s="51" t="s">
        <v>12</v>
      </c>
      <c r="Z142" s="51" t="s">
        <v>12</v>
      </c>
      <c r="AA142" s="51" t="s">
        <v>12</v>
      </c>
      <c r="AB142" s="51" t="s">
        <v>12</v>
      </c>
      <c r="AC142" s="51" t="s">
        <v>12</v>
      </c>
      <c r="AD142" s="51" t="s">
        <v>12</v>
      </c>
      <c r="AE142" s="51" t="s">
        <v>12</v>
      </c>
      <c r="AF142" s="51"/>
      <c r="AG142" s="51"/>
      <c r="AH142" s="51"/>
      <c r="AI142" s="51"/>
      <c r="AJ142" s="51"/>
      <c r="AK142" s="51"/>
      <c r="AL142" s="51"/>
      <c r="AM142" s="51"/>
    </row>
    <row r="143" spans="1:39">
      <c r="A143" s="117"/>
      <c r="B143" s="119"/>
      <c r="C143" s="11" t="s">
        <v>25</v>
      </c>
      <c r="D143" s="41">
        <f t="shared" si="7"/>
        <v>101389</v>
      </c>
      <c r="E143" s="51" t="s">
        <v>12</v>
      </c>
      <c r="F143" s="51" t="s">
        <v>12</v>
      </c>
      <c r="G143" s="51" t="s">
        <v>12</v>
      </c>
      <c r="H143" s="51" t="s">
        <v>12</v>
      </c>
      <c r="I143" s="51" t="s">
        <v>12</v>
      </c>
      <c r="J143" s="51" t="s">
        <v>12</v>
      </c>
      <c r="K143" s="51" t="s">
        <v>12</v>
      </c>
      <c r="L143" s="51" t="s">
        <v>12</v>
      </c>
      <c r="M143" s="51" t="s">
        <v>12</v>
      </c>
      <c r="N143" s="51" t="s">
        <v>12</v>
      </c>
      <c r="O143" s="51" t="s">
        <v>12</v>
      </c>
      <c r="P143" s="51" t="s">
        <v>12</v>
      </c>
      <c r="Q143" s="51" t="s">
        <v>12</v>
      </c>
      <c r="R143" s="51" t="s">
        <v>12</v>
      </c>
      <c r="S143" s="51" t="s">
        <v>12</v>
      </c>
      <c r="T143" s="51" t="s">
        <v>12</v>
      </c>
      <c r="U143" s="51" t="s">
        <v>12</v>
      </c>
      <c r="V143" s="51" t="s">
        <v>12</v>
      </c>
      <c r="W143" s="51" t="s">
        <v>12</v>
      </c>
      <c r="X143" s="51" t="s">
        <v>12</v>
      </c>
      <c r="Y143" s="51" t="s">
        <v>12</v>
      </c>
      <c r="Z143" s="51" t="s">
        <v>12</v>
      </c>
      <c r="AA143" s="51" t="s">
        <v>12</v>
      </c>
      <c r="AB143" s="51" t="s">
        <v>12</v>
      </c>
      <c r="AC143" s="51" t="s">
        <v>12</v>
      </c>
      <c r="AD143" s="51" t="s">
        <v>12</v>
      </c>
      <c r="AE143" s="51" t="s">
        <v>12</v>
      </c>
      <c r="AF143" s="51"/>
      <c r="AG143" s="51"/>
      <c r="AH143" s="51"/>
      <c r="AI143" s="51"/>
      <c r="AJ143" s="51"/>
      <c r="AK143" s="51"/>
      <c r="AL143" s="51"/>
      <c r="AM143" s="51"/>
    </row>
    <row r="144" spans="1:39">
      <c r="A144" s="117"/>
      <c r="B144" s="119"/>
      <c r="C144" s="8" t="s">
        <v>26</v>
      </c>
      <c r="D144" s="41">
        <f t="shared" si="7"/>
        <v>101389</v>
      </c>
      <c r="E144" s="51" t="s">
        <v>12</v>
      </c>
      <c r="F144" s="51" t="s">
        <v>12</v>
      </c>
      <c r="G144" s="51" t="s">
        <v>12</v>
      </c>
      <c r="H144" s="51" t="s">
        <v>12</v>
      </c>
      <c r="I144" s="51" t="s">
        <v>12</v>
      </c>
      <c r="J144" s="51" t="s">
        <v>12</v>
      </c>
      <c r="K144" s="51" t="s">
        <v>12</v>
      </c>
      <c r="L144" s="51" t="s">
        <v>12</v>
      </c>
      <c r="M144" s="51" t="s">
        <v>12</v>
      </c>
      <c r="N144" s="51" t="s">
        <v>12</v>
      </c>
      <c r="O144" s="51" t="s">
        <v>12</v>
      </c>
      <c r="P144" s="51" t="s">
        <v>12</v>
      </c>
      <c r="Q144" s="51" t="s">
        <v>12</v>
      </c>
      <c r="R144" s="51" t="s">
        <v>12</v>
      </c>
      <c r="S144" s="51" t="s">
        <v>12</v>
      </c>
      <c r="T144" s="51" t="s">
        <v>12</v>
      </c>
      <c r="U144" s="51" t="s">
        <v>12</v>
      </c>
      <c r="V144" s="51" t="s">
        <v>12</v>
      </c>
      <c r="W144" s="51" t="s">
        <v>12</v>
      </c>
      <c r="X144" s="51" t="s">
        <v>12</v>
      </c>
      <c r="Y144" s="51" t="s">
        <v>12</v>
      </c>
      <c r="Z144" s="51" t="s">
        <v>12</v>
      </c>
      <c r="AA144" s="51" t="s">
        <v>12</v>
      </c>
      <c r="AB144" s="51" t="s">
        <v>12</v>
      </c>
      <c r="AC144" s="51" t="s">
        <v>12</v>
      </c>
      <c r="AD144" s="51" t="s">
        <v>12</v>
      </c>
      <c r="AE144" s="51" t="s">
        <v>12</v>
      </c>
      <c r="AF144" s="51"/>
      <c r="AG144" s="51"/>
      <c r="AH144" s="51"/>
      <c r="AI144" s="51"/>
      <c r="AJ144" s="51"/>
      <c r="AK144" s="51"/>
      <c r="AL144" s="51"/>
      <c r="AM144" s="51"/>
    </row>
    <row r="145" spans="1:39">
      <c r="A145" s="117"/>
      <c r="B145" s="119"/>
      <c r="C145" s="19" t="s">
        <v>27</v>
      </c>
      <c r="D145" s="41">
        <f t="shared" si="7"/>
        <v>101389</v>
      </c>
      <c r="E145" s="51" t="s">
        <v>12</v>
      </c>
      <c r="F145" s="51" t="s">
        <v>12</v>
      </c>
      <c r="G145" s="51" t="s">
        <v>12</v>
      </c>
      <c r="H145" s="51" t="s">
        <v>12</v>
      </c>
      <c r="I145" s="51" t="s">
        <v>12</v>
      </c>
      <c r="J145" s="51" t="s">
        <v>12</v>
      </c>
      <c r="K145" s="51" t="s">
        <v>12</v>
      </c>
      <c r="L145" s="51" t="s">
        <v>12</v>
      </c>
      <c r="M145" s="51" t="s">
        <v>12</v>
      </c>
      <c r="N145" s="51" t="s">
        <v>12</v>
      </c>
      <c r="O145" s="51" t="s">
        <v>12</v>
      </c>
      <c r="P145" s="51" t="s">
        <v>12</v>
      </c>
      <c r="Q145" s="51" t="s">
        <v>12</v>
      </c>
      <c r="R145" s="51" t="s">
        <v>12</v>
      </c>
      <c r="S145" s="51" t="s">
        <v>12</v>
      </c>
      <c r="T145" s="51" t="s">
        <v>12</v>
      </c>
      <c r="U145" s="51" t="s">
        <v>12</v>
      </c>
      <c r="V145" s="51" t="s">
        <v>12</v>
      </c>
      <c r="W145" s="51" t="s">
        <v>12</v>
      </c>
      <c r="X145" s="51" t="s">
        <v>12</v>
      </c>
      <c r="Y145" s="51" t="s">
        <v>12</v>
      </c>
      <c r="Z145" s="51" t="s">
        <v>12</v>
      </c>
      <c r="AA145" s="51" t="s">
        <v>12</v>
      </c>
      <c r="AB145" s="51" t="s">
        <v>12</v>
      </c>
      <c r="AC145" s="51" t="s">
        <v>12</v>
      </c>
      <c r="AD145" s="51" t="s">
        <v>12</v>
      </c>
      <c r="AE145" s="51" t="s">
        <v>12</v>
      </c>
      <c r="AF145" s="51"/>
      <c r="AG145" s="51"/>
      <c r="AH145" s="51"/>
      <c r="AI145" s="51"/>
      <c r="AJ145" s="51"/>
      <c r="AK145" s="51"/>
      <c r="AL145" s="51"/>
      <c r="AM145" s="51"/>
    </row>
    <row r="146" spans="1:39">
      <c r="A146" s="117"/>
      <c r="B146" s="120"/>
      <c r="C146" s="21" t="s">
        <v>28</v>
      </c>
      <c r="D146" s="41">
        <f t="shared" si="7"/>
        <v>101389</v>
      </c>
      <c r="E146" s="37">
        <v>-57.52</v>
      </c>
      <c r="F146" s="37">
        <v>33.24</v>
      </c>
      <c r="G146" s="37">
        <v>359.72</v>
      </c>
      <c r="H146" s="37">
        <v>1031.75</v>
      </c>
      <c r="I146" s="37">
        <v>370.76</v>
      </c>
      <c r="J146" s="37">
        <v>1039.58</v>
      </c>
      <c r="K146" s="37">
        <v>-144.94</v>
      </c>
      <c r="L146" s="37">
        <v>-527.64</v>
      </c>
      <c r="M146" s="37">
        <v>387.82</v>
      </c>
      <c r="N146" s="37">
        <v>1158.8399999999999</v>
      </c>
      <c r="O146" s="37">
        <v>162.38999999999999</v>
      </c>
      <c r="P146" s="37">
        <v>381.63</v>
      </c>
      <c r="Q146" s="37">
        <v>401.61</v>
      </c>
      <c r="R146" s="37">
        <v>1164.17</v>
      </c>
      <c r="S146" s="37">
        <v>60.38</v>
      </c>
      <c r="T146" s="37">
        <v>71.8</v>
      </c>
      <c r="U146" s="37">
        <v>12.02</v>
      </c>
      <c r="V146" s="37">
        <v>27.27</v>
      </c>
      <c r="W146" s="37">
        <v>-68.05</v>
      </c>
      <c r="X146" s="37">
        <v>-6.74</v>
      </c>
      <c r="Y146" s="37">
        <v>-81.56</v>
      </c>
      <c r="Z146" s="37">
        <v>214.05</v>
      </c>
      <c r="AA146" s="37">
        <v>71.58</v>
      </c>
      <c r="AB146" s="51" t="s">
        <v>12</v>
      </c>
      <c r="AC146" s="51" t="s">
        <v>12</v>
      </c>
      <c r="AD146" s="51" t="s">
        <v>12</v>
      </c>
      <c r="AE146" s="37"/>
      <c r="AF146" s="37"/>
      <c r="AG146" s="37"/>
      <c r="AH146" s="37"/>
      <c r="AI146" s="37"/>
      <c r="AJ146" s="37"/>
      <c r="AK146" s="37"/>
      <c r="AL146" s="37"/>
      <c r="AM146" s="37"/>
    </row>
    <row r="147" spans="1:39">
      <c r="A147" s="117"/>
      <c r="B147" s="118">
        <v>11</v>
      </c>
      <c r="C147" s="2" t="s">
        <v>16</v>
      </c>
      <c r="D147" s="41">
        <f>D133+11111+139</f>
        <v>112639</v>
      </c>
      <c r="E147" s="51" t="s">
        <v>12</v>
      </c>
      <c r="F147" s="51" t="s">
        <v>12</v>
      </c>
      <c r="G147" s="51" t="s">
        <v>12</v>
      </c>
      <c r="H147" s="51" t="s">
        <v>12</v>
      </c>
      <c r="I147" s="51" t="s">
        <v>12</v>
      </c>
      <c r="J147" s="51" t="s">
        <v>12</v>
      </c>
      <c r="K147" s="51" t="s">
        <v>12</v>
      </c>
      <c r="L147" s="51" t="s">
        <v>12</v>
      </c>
      <c r="M147" s="51" t="s">
        <v>12</v>
      </c>
      <c r="N147" s="51" t="s">
        <v>12</v>
      </c>
      <c r="O147" s="51" t="s">
        <v>12</v>
      </c>
      <c r="P147" s="51" t="s">
        <v>12</v>
      </c>
      <c r="Q147" s="51" t="s">
        <v>12</v>
      </c>
      <c r="R147" s="51" t="s">
        <v>12</v>
      </c>
      <c r="S147" s="51" t="s">
        <v>12</v>
      </c>
      <c r="T147" s="51" t="s">
        <v>12</v>
      </c>
      <c r="U147" s="51" t="s">
        <v>12</v>
      </c>
      <c r="V147" s="51" t="s">
        <v>12</v>
      </c>
      <c r="W147" s="51" t="s">
        <v>12</v>
      </c>
      <c r="X147" s="51" t="s">
        <v>12</v>
      </c>
      <c r="Y147" s="51" t="s">
        <v>12</v>
      </c>
      <c r="Z147" s="51" t="s">
        <v>12</v>
      </c>
      <c r="AA147" s="51" t="s">
        <v>12</v>
      </c>
      <c r="AB147" s="51" t="s">
        <v>12</v>
      </c>
      <c r="AC147" s="51" t="s">
        <v>12</v>
      </c>
      <c r="AD147" s="51" t="s">
        <v>12</v>
      </c>
      <c r="AE147" s="51" t="s">
        <v>12</v>
      </c>
      <c r="AF147" s="51"/>
      <c r="AG147" s="51"/>
      <c r="AH147" s="51"/>
      <c r="AI147" s="51"/>
      <c r="AJ147" s="51"/>
      <c r="AK147" s="51"/>
      <c r="AL147" s="51"/>
      <c r="AM147" s="51"/>
    </row>
    <row r="148" spans="1:39">
      <c r="A148" s="117"/>
      <c r="B148" s="119"/>
      <c r="C148" s="1" t="s">
        <v>15</v>
      </c>
      <c r="D148" s="41">
        <f t="shared" ref="D148:D160" si="8">D134+11111+139</f>
        <v>112639</v>
      </c>
      <c r="E148" s="51" t="s">
        <v>12</v>
      </c>
      <c r="F148" s="51" t="s">
        <v>12</v>
      </c>
      <c r="G148" s="51" t="s">
        <v>12</v>
      </c>
      <c r="H148" s="51" t="s">
        <v>12</v>
      </c>
      <c r="I148" s="51" t="s">
        <v>12</v>
      </c>
      <c r="J148" s="51" t="s">
        <v>12</v>
      </c>
      <c r="K148" s="51" t="s">
        <v>12</v>
      </c>
      <c r="L148" s="51" t="s">
        <v>12</v>
      </c>
      <c r="M148" s="51" t="s">
        <v>12</v>
      </c>
      <c r="N148" s="51" t="s">
        <v>12</v>
      </c>
      <c r="O148" s="51" t="s">
        <v>12</v>
      </c>
      <c r="P148" s="51" t="s">
        <v>12</v>
      </c>
      <c r="Q148" s="51" t="s">
        <v>12</v>
      </c>
      <c r="R148" s="51" t="s">
        <v>12</v>
      </c>
      <c r="S148" s="51" t="s">
        <v>12</v>
      </c>
      <c r="T148" s="51" t="s">
        <v>12</v>
      </c>
      <c r="U148" s="51" t="s">
        <v>12</v>
      </c>
      <c r="V148" s="51" t="s">
        <v>12</v>
      </c>
      <c r="W148" s="51" t="s">
        <v>12</v>
      </c>
      <c r="X148" s="51" t="s">
        <v>12</v>
      </c>
      <c r="Y148" s="51" t="s">
        <v>12</v>
      </c>
      <c r="Z148" s="26">
        <v>259.83999999999997</v>
      </c>
      <c r="AA148" s="26">
        <v>86.48</v>
      </c>
      <c r="AB148" s="51" t="s">
        <v>12</v>
      </c>
      <c r="AC148" s="51" t="s">
        <v>12</v>
      </c>
      <c r="AD148" s="51" t="s">
        <v>12</v>
      </c>
      <c r="AE148" s="51" t="s">
        <v>12</v>
      </c>
      <c r="AF148" s="51"/>
      <c r="AG148" s="51"/>
      <c r="AH148" s="51"/>
      <c r="AI148" s="51"/>
      <c r="AJ148" s="51"/>
      <c r="AK148" s="51"/>
      <c r="AL148" s="51"/>
      <c r="AM148" s="51"/>
    </row>
    <row r="149" spans="1:39">
      <c r="A149" s="117"/>
      <c r="B149" s="119"/>
      <c r="C149" s="5" t="s">
        <v>14</v>
      </c>
      <c r="D149" s="41">
        <f t="shared" si="8"/>
        <v>112639</v>
      </c>
      <c r="E149" s="27">
        <v>263.99</v>
      </c>
      <c r="F149" s="27">
        <v>521.46</v>
      </c>
      <c r="G149" s="27">
        <v>604.77</v>
      </c>
      <c r="H149" s="27">
        <v>890.2</v>
      </c>
      <c r="I149" s="27">
        <v>665.37</v>
      </c>
      <c r="J149" s="27">
        <v>1025.83</v>
      </c>
      <c r="K149" s="27">
        <v>-91.68</v>
      </c>
      <c r="L149" s="27">
        <v>-146.25</v>
      </c>
      <c r="M149" s="27">
        <v>611.66999999999996</v>
      </c>
      <c r="N149" s="27">
        <v>902.13</v>
      </c>
      <c r="O149" s="27">
        <v>250.64</v>
      </c>
      <c r="P149" s="27">
        <v>329.8</v>
      </c>
      <c r="Q149" s="27">
        <v>671.9</v>
      </c>
      <c r="R149" s="27">
        <v>1034.73</v>
      </c>
      <c r="S149" s="27">
        <v>65.760000000000005</v>
      </c>
      <c r="T149" s="27">
        <v>71.88</v>
      </c>
      <c r="U149" s="27">
        <v>7.58</v>
      </c>
      <c r="V149" s="27">
        <v>10.86</v>
      </c>
      <c r="W149" s="27">
        <v>-81.38</v>
      </c>
      <c r="X149" s="27">
        <v>2.3199999999999998</v>
      </c>
      <c r="Y149" s="27">
        <v>66.64</v>
      </c>
      <c r="Z149" s="27">
        <v>289.66000000000003</v>
      </c>
      <c r="AA149" s="27">
        <v>66.930000000000007</v>
      </c>
      <c r="AB149" s="44">
        <v>4.01</v>
      </c>
      <c r="AC149" s="44">
        <v>0.55400000000000005</v>
      </c>
      <c r="AD149" s="44">
        <v>-1.5324</v>
      </c>
      <c r="AE149" s="27"/>
      <c r="AF149" s="27"/>
      <c r="AG149" s="27"/>
      <c r="AH149" s="27"/>
      <c r="AI149" s="27"/>
      <c r="AJ149" s="27"/>
      <c r="AK149" s="27"/>
      <c r="AL149" s="27"/>
      <c r="AM149" s="27"/>
    </row>
    <row r="150" spans="1:39">
      <c r="A150" s="117"/>
      <c r="B150" s="119"/>
      <c r="C150" s="12" t="s">
        <v>11</v>
      </c>
      <c r="D150" s="41">
        <f t="shared" si="8"/>
        <v>112639</v>
      </c>
      <c r="E150" s="28">
        <v>350.79</v>
      </c>
      <c r="F150" s="28">
        <v>680.13</v>
      </c>
      <c r="G150" s="28">
        <v>608.54</v>
      </c>
      <c r="H150" s="28">
        <v>985.42</v>
      </c>
      <c r="I150" s="28">
        <v>704.71</v>
      </c>
      <c r="J150" s="28">
        <v>1189.67</v>
      </c>
      <c r="K150" s="28">
        <v>-183.74</v>
      </c>
      <c r="L150" s="28">
        <v>-312.8</v>
      </c>
      <c r="M150" s="28">
        <v>635.66999999999996</v>
      </c>
      <c r="N150" s="28">
        <v>1033.8699999999999</v>
      </c>
      <c r="O150" s="28">
        <v>162.28</v>
      </c>
      <c r="P150" s="28">
        <v>228.89</v>
      </c>
      <c r="Q150" s="28">
        <v>728.37</v>
      </c>
      <c r="R150" s="28">
        <v>1228.24</v>
      </c>
      <c r="S150" s="28">
        <v>76.010000000000005</v>
      </c>
      <c r="T150" s="28">
        <v>80.209999999999994</v>
      </c>
      <c r="U150" s="28">
        <v>15.1</v>
      </c>
      <c r="V150" s="28">
        <v>23.83</v>
      </c>
      <c r="W150" s="28">
        <v>-73.2</v>
      </c>
      <c r="X150" s="28">
        <v>1.81</v>
      </c>
      <c r="Y150" s="28">
        <v>61.11</v>
      </c>
      <c r="Z150" s="28">
        <v>218.61</v>
      </c>
      <c r="AA150" s="28">
        <v>133.88999999999999</v>
      </c>
      <c r="AB150" s="51" t="s">
        <v>12</v>
      </c>
      <c r="AC150" s="51" t="s">
        <v>12</v>
      </c>
      <c r="AD150" s="51" t="s">
        <v>12</v>
      </c>
      <c r="AE150" s="28"/>
      <c r="AF150" s="28"/>
      <c r="AG150" s="28"/>
      <c r="AH150" s="28"/>
      <c r="AI150" s="28"/>
      <c r="AJ150" s="28"/>
      <c r="AK150" s="28"/>
      <c r="AL150" s="28"/>
      <c r="AM150" s="28"/>
    </row>
    <row r="151" spans="1:39">
      <c r="A151" s="117"/>
      <c r="B151" s="119"/>
      <c r="C151" s="3" t="s">
        <v>8</v>
      </c>
      <c r="D151" s="41">
        <f t="shared" si="8"/>
        <v>112639</v>
      </c>
      <c r="E151" s="51" t="s">
        <v>12</v>
      </c>
      <c r="F151" s="51" t="s">
        <v>12</v>
      </c>
      <c r="G151" s="51" t="s">
        <v>12</v>
      </c>
      <c r="H151" s="51" t="s">
        <v>12</v>
      </c>
      <c r="I151" s="51" t="s">
        <v>12</v>
      </c>
      <c r="J151" s="51" t="s">
        <v>12</v>
      </c>
      <c r="K151" s="51" t="s">
        <v>12</v>
      </c>
      <c r="L151" s="51" t="s">
        <v>12</v>
      </c>
      <c r="M151" s="51"/>
      <c r="N151" s="51"/>
      <c r="O151" s="51" t="s">
        <v>12</v>
      </c>
      <c r="P151" s="51" t="s">
        <v>12</v>
      </c>
      <c r="Q151" s="51" t="s">
        <v>12</v>
      </c>
      <c r="R151" s="51" t="s">
        <v>12</v>
      </c>
      <c r="S151" s="51" t="s">
        <v>12</v>
      </c>
      <c r="T151" s="51" t="s">
        <v>12</v>
      </c>
      <c r="U151" s="51" t="s">
        <v>12</v>
      </c>
      <c r="V151" s="51" t="s">
        <v>12</v>
      </c>
      <c r="W151" s="51"/>
      <c r="X151" s="51"/>
      <c r="Y151" s="51"/>
      <c r="Z151" s="51" t="s">
        <v>12</v>
      </c>
      <c r="AA151" s="51" t="s">
        <v>12</v>
      </c>
      <c r="AB151" s="51" t="s">
        <v>12</v>
      </c>
      <c r="AC151" s="51" t="s">
        <v>12</v>
      </c>
      <c r="AD151" s="51" t="s">
        <v>12</v>
      </c>
      <c r="AE151" s="51" t="s">
        <v>12</v>
      </c>
      <c r="AF151" s="51"/>
      <c r="AG151" s="51"/>
      <c r="AH151" s="51"/>
      <c r="AI151" s="51"/>
      <c r="AJ151" s="51"/>
      <c r="AK151" s="51"/>
      <c r="AL151" s="51"/>
      <c r="AM151" s="51"/>
    </row>
    <row r="152" spans="1:39">
      <c r="A152" s="117"/>
      <c r="B152" s="119"/>
      <c r="C152" s="9" t="s">
        <v>7</v>
      </c>
      <c r="D152" s="41">
        <f t="shared" si="8"/>
        <v>112639</v>
      </c>
      <c r="E152" s="51" t="s">
        <v>12</v>
      </c>
      <c r="F152" s="51" t="s">
        <v>12</v>
      </c>
      <c r="G152" s="51" t="s">
        <v>12</v>
      </c>
      <c r="H152" s="51" t="s">
        <v>12</v>
      </c>
      <c r="I152" s="51" t="s">
        <v>12</v>
      </c>
      <c r="J152" s="51" t="s">
        <v>12</v>
      </c>
      <c r="K152" s="51" t="s">
        <v>12</v>
      </c>
      <c r="L152" s="51" t="s">
        <v>12</v>
      </c>
      <c r="M152" s="51"/>
      <c r="N152" s="51"/>
      <c r="O152" s="51" t="s">
        <v>12</v>
      </c>
      <c r="P152" s="51" t="s">
        <v>12</v>
      </c>
      <c r="Q152" s="51" t="s">
        <v>12</v>
      </c>
      <c r="R152" s="51" t="s">
        <v>12</v>
      </c>
      <c r="S152" s="51" t="s">
        <v>12</v>
      </c>
      <c r="T152" s="51" t="s">
        <v>12</v>
      </c>
      <c r="U152" s="51" t="s">
        <v>12</v>
      </c>
      <c r="V152" s="51" t="s">
        <v>12</v>
      </c>
      <c r="W152" s="51"/>
      <c r="X152" s="51"/>
      <c r="Y152" s="51"/>
      <c r="Z152" s="51" t="s">
        <v>12</v>
      </c>
      <c r="AA152" s="51" t="s">
        <v>12</v>
      </c>
      <c r="AB152" s="51" t="s">
        <v>12</v>
      </c>
      <c r="AC152" s="51" t="s">
        <v>12</v>
      </c>
      <c r="AD152" s="51" t="s">
        <v>12</v>
      </c>
      <c r="AE152" s="51" t="s">
        <v>12</v>
      </c>
      <c r="AF152" s="51"/>
      <c r="AG152" s="51"/>
      <c r="AH152" s="51"/>
      <c r="AI152" s="51"/>
      <c r="AJ152" s="51"/>
      <c r="AK152" s="51"/>
      <c r="AL152" s="51"/>
      <c r="AM152" s="51"/>
    </row>
    <row r="153" spans="1:39">
      <c r="A153" s="117"/>
      <c r="B153" s="119"/>
      <c r="C153" s="7" t="s">
        <v>18</v>
      </c>
      <c r="D153" s="41">
        <f t="shared" si="8"/>
        <v>112639</v>
      </c>
      <c r="E153" s="51" t="s">
        <v>12</v>
      </c>
      <c r="F153" s="51" t="s">
        <v>12</v>
      </c>
      <c r="G153" s="51" t="s">
        <v>12</v>
      </c>
      <c r="H153" s="51" t="s">
        <v>12</v>
      </c>
      <c r="I153" s="51" t="s">
        <v>12</v>
      </c>
      <c r="J153" s="51" t="s">
        <v>12</v>
      </c>
      <c r="K153" s="51" t="s">
        <v>12</v>
      </c>
      <c r="L153" s="51" t="s">
        <v>12</v>
      </c>
      <c r="M153" s="51"/>
      <c r="N153" s="51"/>
      <c r="O153" s="51" t="s">
        <v>12</v>
      </c>
      <c r="P153" s="51" t="s">
        <v>12</v>
      </c>
      <c r="Q153" s="51" t="s">
        <v>12</v>
      </c>
      <c r="R153" s="51" t="s">
        <v>12</v>
      </c>
      <c r="S153" s="51" t="s">
        <v>12</v>
      </c>
      <c r="T153" s="51" t="s">
        <v>12</v>
      </c>
      <c r="U153" s="51" t="s">
        <v>12</v>
      </c>
      <c r="V153" s="51" t="s">
        <v>12</v>
      </c>
      <c r="W153" s="51"/>
      <c r="X153" s="51"/>
      <c r="Y153" s="51"/>
      <c r="Z153" s="51" t="s">
        <v>12</v>
      </c>
      <c r="AA153" s="51" t="s">
        <v>12</v>
      </c>
      <c r="AB153" s="51" t="s">
        <v>12</v>
      </c>
      <c r="AC153" s="51" t="s">
        <v>12</v>
      </c>
      <c r="AD153" s="51" t="s">
        <v>12</v>
      </c>
      <c r="AE153" s="51" t="s">
        <v>12</v>
      </c>
      <c r="AF153" s="51"/>
      <c r="AG153" s="51"/>
      <c r="AH153" s="51"/>
      <c r="AI153" s="51"/>
      <c r="AJ153" s="51"/>
      <c r="AK153" s="51"/>
      <c r="AL153" s="51"/>
      <c r="AM153" s="51"/>
    </row>
    <row r="154" spans="1:39">
      <c r="A154" s="117"/>
      <c r="B154" s="119"/>
      <c r="C154" s="6" t="s">
        <v>19</v>
      </c>
      <c r="D154" s="41">
        <f t="shared" si="8"/>
        <v>112639</v>
      </c>
      <c r="E154" s="51" t="s">
        <v>12</v>
      </c>
      <c r="F154" s="51" t="s">
        <v>12</v>
      </c>
      <c r="G154" s="51" t="s">
        <v>12</v>
      </c>
      <c r="H154" s="51" t="s">
        <v>12</v>
      </c>
      <c r="I154" s="51" t="s">
        <v>12</v>
      </c>
      <c r="J154" s="51" t="s">
        <v>12</v>
      </c>
      <c r="K154" s="51" t="s">
        <v>12</v>
      </c>
      <c r="L154" s="51" t="s">
        <v>12</v>
      </c>
      <c r="M154" s="51"/>
      <c r="N154" s="51"/>
      <c r="O154" s="51" t="s">
        <v>12</v>
      </c>
      <c r="P154" s="51" t="s">
        <v>12</v>
      </c>
      <c r="Q154" s="51" t="s">
        <v>12</v>
      </c>
      <c r="R154" s="51" t="s">
        <v>12</v>
      </c>
      <c r="S154" s="51" t="s">
        <v>12</v>
      </c>
      <c r="T154" s="51" t="s">
        <v>12</v>
      </c>
      <c r="U154" s="51" t="s">
        <v>12</v>
      </c>
      <c r="V154" s="51" t="s">
        <v>12</v>
      </c>
      <c r="W154" s="51"/>
      <c r="X154" s="51"/>
      <c r="Y154" s="51"/>
      <c r="Z154" s="51" t="s">
        <v>12</v>
      </c>
      <c r="AA154" s="51" t="s">
        <v>12</v>
      </c>
      <c r="AB154" s="51" t="s">
        <v>12</v>
      </c>
      <c r="AC154" s="51" t="s">
        <v>12</v>
      </c>
      <c r="AD154" s="51" t="s">
        <v>12</v>
      </c>
      <c r="AE154" s="51" t="s">
        <v>12</v>
      </c>
      <c r="AF154" s="51"/>
      <c r="AG154" s="51"/>
      <c r="AH154" s="51"/>
      <c r="AI154" s="51"/>
      <c r="AJ154" s="51"/>
      <c r="AK154" s="51"/>
      <c r="AL154" s="51"/>
      <c r="AM154" s="51"/>
    </row>
    <row r="155" spans="1:39">
      <c r="A155" s="117"/>
      <c r="B155" s="119"/>
      <c r="C155" s="4" t="s">
        <v>23</v>
      </c>
      <c r="D155" s="41">
        <f t="shared" si="8"/>
        <v>112639</v>
      </c>
      <c r="E155" s="51" t="s">
        <v>12</v>
      </c>
      <c r="F155" s="51" t="s">
        <v>12</v>
      </c>
      <c r="G155" s="51" t="s">
        <v>12</v>
      </c>
      <c r="H155" s="51" t="s">
        <v>12</v>
      </c>
      <c r="I155" s="51" t="s">
        <v>12</v>
      </c>
      <c r="J155" s="51" t="s">
        <v>12</v>
      </c>
      <c r="K155" s="51" t="s">
        <v>12</v>
      </c>
      <c r="L155" s="51" t="s">
        <v>12</v>
      </c>
      <c r="M155" s="51"/>
      <c r="N155" s="51"/>
      <c r="O155" s="51" t="s">
        <v>12</v>
      </c>
      <c r="P155" s="51" t="s">
        <v>12</v>
      </c>
      <c r="Q155" s="51" t="s">
        <v>12</v>
      </c>
      <c r="R155" s="51" t="s">
        <v>12</v>
      </c>
      <c r="S155" s="51" t="s">
        <v>12</v>
      </c>
      <c r="T155" s="51" t="s">
        <v>12</v>
      </c>
      <c r="U155" s="51" t="s">
        <v>12</v>
      </c>
      <c r="V155" s="51" t="s">
        <v>12</v>
      </c>
      <c r="W155" s="51"/>
      <c r="X155" s="51"/>
      <c r="Y155" s="51"/>
      <c r="Z155" s="51" t="s">
        <v>12</v>
      </c>
      <c r="AA155" s="51" t="s">
        <v>12</v>
      </c>
      <c r="AB155" s="51" t="s">
        <v>12</v>
      </c>
      <c r="AC155" s="51" t="s">
        <v>12</v>
      </c>
      <c r="AD155" s="51" t="s">
        <v>12</v>
      </c>
      <c r="AE155" s="51" t="s">
        <v>12</v>
      </c>
      <c r="AF155" s="51"/>
      <c r="AG155" s="51"/>
      <c r="AH155" s="51"/>
      <c r="AI155" s="51"/>
      <c r="AJ155" s="51"/>
      <c r="AK155" s="51"/>
      <c r="AL155" s="51"/>
      <c r="AM155" s="51"/>
    </row>
    <row r="156" spans="1:39">
      <c r="A156" s="117"/>
      <c r="B156" s="119"/>
      <c r="C156" s="10" t="s">
        <v>24</v>
      </c>
      <c r="D156" s="41">
        <f t="shared" si="8"/>
        <v>112639</v>
      </c>
      <c r="E156" s="51" t="s">
        <v>12</v>
      </c>
      <c r="F156" s="51" t="s">
        <v>12</v>
      </c>
      <c r="G156" s="51" t="s">
        <v>12</v>
      </c>
      <c r="H156" s="51" t="s">
        <v>12</v>
      </c>
      <c r="I156" s="51" t="s">
        <v>12</v>
      </c>
      <c r="J156" s="51" t="s">
        <v>12</v>
      </c>
      <c r="K156" s="51" t="s">
        <v>12</v>
      </c>
      <c r="L156" s="51" t="s">
        <v>12</v>
      </c>
      <c r="M156" s="51"/>
      <c r="N156" s="51"/>
      <c r="O156" s="51" t="s">
        <v>12</v>
      </c>
      <c r="P156" s="51" t="s">
        <v>12</v>
      </c>
      <c r="Q156" s="51" t="s">
        <v>12</v>
      </c>
      <c r="R156" s="51" t="s">
        <v>12</v>
      </c>
      <c r="S156" s="51" t="s">
        <v>12</v>
      </c>
      <c r="T156" s="51" t="s">
        <v>12</v>
      </c>
      <c r="U156" s="51" t="s">
        <v>12</v>
      </c>
      <c r="V156" s="51" t="s">
        <v>12</v>
      </c>
      <c r="W156" s="51"/>
      <c r="X156" s="51"/>
      <c r="Y156" s="51"/>
      <c r="Z156" s="51" t="s">
        <v>12</v>
      </c>
      <c r="AA156" s="51" t="s">
        <v>12</v>
      </c>
      <c r="AB156" s="51" t="s">
        <v>12</v>
      </c>
      <c r="AC156" s="51" t="s">
        <v>12</v>
      </c>
      <c r="AD156" s="51" t="s">
        <v>12</v>
      </c>
      <c r="AE156" s="51" t="s">
        <v>12</v>
      </c>
      <c r="AF156" s="51"/>
      <c r="AG156" s="51"/>
      <c r="AH156" s="51"/>
      <c r="AI156" s="51"/>
      <c r="AJ156" s="51"/>
      <c r="AK156" s="51"/>
      <c r="AL156" s="51"/>
      <c r="AM156" s="51"/>
    </row>
    <row r="157" spans="1:39">
      <c r="A157" s="117"/>
      <c r="B157" s="119"/>
      <c r="C157" s="11" t="s">
        <v>25</v>
      </c>
      <c r="D157" s="41">
        <f t="shared" si="8"/>
        <v>112639</v>
      </c>
      <c r="E157" s="51" t="s">
        <v>12</v>
      </c>
      <c r="F157" s="51" t="s">
        <v>12</v>
      </c>
      <c r="G157" s="51" t="s">
        <v>12</v>
      </c>
      <c r="H157" s="51" t="s">
        <v>12</v>
      </c>
      <c r="I157" s="51" t="s">
        <v>12</v>
      </c>
      <c r="J157" s="51" t="s">
        <v>12</v>
      </c>
      <c r="K157" s="51" t="s">
        <v>12</v>
      </c>
      <c r="L157" s="51" t="s">
        <v>12</v>
      </c>
      <c r="M157" s="51"/>
      <c r="N157" s="51"/>
      <c r="O157" s="51" t="s">
        <v>12</v>
      </c>
      <c r="P157" s="51" t="s">
        <v>12</v>
      </c>
      <c r="Q157" s="51" t="s">
        <v>12</v>
      </c>
      <c r="R157" s="51" t="s">
        <v>12</v>
      </c>
      <c r="S157" s="51" t="s">
        <v>12</v>
      </c>
      <c r="T157" s="51" t="s">
        <v>12</v>
      </c>
      <c r="U157" s="51" t="s">
        <v>12</v>
      </c>
      <c r="V157" s="51" t="s">
        <v>12</v>
      </c>
      <c r="W157" s="51"/>
      <c r="X157" s="51"/>
      <c r="Y157" s="51"/>
      <c r="Z157" s="51" t="s">
        <v>12</v>
      </c>
      <c r="AA157" s="51" t="s">
        <v>12</v>
      </c>
      <c r="AB157" s="51" t="s">
        <v>12</v>
      </c>
      <c r="AC157" s="51" t="s">
        <v>12</v>
      </c>
      <c r="AD157" s="51" t="s">
        <v>12</v>
      </c>
      <c r="AE157" s="51" t="s">
        <v>12</v>
      </c>
      <c r="AF157" s="51"/>
      <c r="AG157" s="51"/>
      <c r="AH157" s="51"/>
      <c r="AI157" s="51"/>
      <c r="AJ157" s="51"/>
      <c r="AK157" s="51"/>
      <c r="AL157" s="51"/>
      <c r="AM157" s="51"/>
    </row>
    <row r="158" spans="1:39">
      <c r="A158" s="117"/>
      <c r="B158" s="119"/>
      <c r="C158" s="8" t="s">
        <v>26</v>
      </c>
      <c r="D158" s="41">
        <f t="shared" si="8"/>
        <v>112639</v>
      </c>
      <c r="E158" s="51" t="s">
        <v>12</v>
      </c>
      <c r="F158" s="51" t="s">
        <v>12</v>
      </c>
      <c r="G158" s="51" t="s">
        <v>12</v>
      </c>
      <c r="H158" s="51" t="s">
        <v>12</v>
      </c>
      <c r="I158" s="51" t="s">
        <v>12</v>
      </c>
      <c r="J158" s="51" t="s">
        <v>12</v>
      </c>
      <c r="K158" s="51" t="s">
        <v>12</v>
      </c>
      <c r="L158" s="51" t="s">
        <v>12</v>
      </c>
      <c r="M158" s="51"/>
      <c r="N158" s="51"/>
      <c r="O158" s="51" t="s">
        <v>12</v>
      </c>
      <c r="P158" s="51" t="s">
        <v>12</v>
      </c>
      <c r="Q158" s="51" t="s">
        <v>12</v>
      </c>
      <c r="R158" s="51" t="s">
        <v>12</v>
      </c>
      <c r="S158" s="51" t="s">
        <v>12</v>
      </c>
      <c r="T158" s="51" t="s">
        <v>12</v>
      </c>
      <c r="U158" s="51" t="s">
        <v>12</v>
      </c>
      <c r="V158" s="51" t="s">
        <v>12</v>
      </c>
      <c r="W158" s="51"/>
      <c r="X158" s="51"/>
      <c r="Y158" s="51"/>
      <c r="Z158" s="51" t="s">
        <v>12</v>
      </c>
      <c r="AA158" s="51" t="s">
        <v>12</v>
      </c>
      <c r="AB158" s="51" t="s">
        <v>12</v>
      </c>
      <c r="AC158" s="51" t="s">
        <v>12</v>
      </c>
      <c r="AD158" s="51" t="s">
        <v>12</v>
      </c>
      <c r="AE158" s="51" t="s">
        <v>12</v>
      </c>
      <c r="AF158" s="51"/>
      <c r="AG158" s="51"/>
      <c r="AH158" s="51"/>
      <c r="AI158" s="51"/>
      <c r="AJ158" s="51"/>
      <c r="AK158" s="51"/>
      <c r="AL158" s="51"/>
      <c r="AM158" s="51"/>
    </row>
    <row r="159" spans="1:39">
      <c r="A159" s="117"/>
      <c r="B159" s="119"/>
      <c r="C159" s="19" t="s">
        <v>27</v>
      </c>
      <c r="D159" s="41">
        <f t="shared" si="8"/>
        <v>112639</v>
      </c>
      <c r="E159" s="51" t="s">
        <v>12</v>
      </c>
      <c r="F159" s="51" t="s">
        <v>12</v>
      </c>
      <c r="G159" s="51" t="s">
        <v>12</v>
      </c>
      <c r="H159" s="51" t="s">
        <v>12</v>
      </c>
      <c r="I159" s="51" t="s">
        <v>12</v>
      </c>
      <c r="J159" s="51" t="s">
        <v>12</v>
      </c>
      <c r="K159" s="51" t="s">
        <v>12</v>
      </c>
      <c r="L159" s="51" t="s">
        <v>12</v>
      </c>
      <c r="M159" s="51"/>
      <c r="N159" s="51"/>
      <c r="O159" s="51" t="s">
        <v>12</v>
      </c>
      <c r="P159" s="51" t="s">
        <v>12</v>
      </c>
      <c r="Q159" s="51" t="s">
        <v>12</v>
      </c>
      <c r="R159" s="51" t="s">
        <v>12</v>
      </c>
      <c r="S159" s="51" t="s">
        <v>12</v>
      </c>
      <c r="T159" s="51" t="s">
        <v>12</v>
      </c>
      <c r="U159" s="51" t="s">
        <v>12</v>
      </c>
      <c r="V159" s="51" t="s">
        <v>12</v>
      </c>
      <c r="W159" s="51"/>
      <c r="X159" s="51"/>
      <c r="Y159" s="51"/>
      <c r="Z159" s="51" t="s">
        <v>12</v>
      </c>
      <c r="AA159" s="51" t="s">
        <v>12</v>
      </c>
      <c r="AB159" s="51" t="s">
        <v>12</v>
      </c>
      <c r="AC159" s="51" t="s">
        <v>12</v>
      </c>
      <c r="AD159" s="51" t="s">
        <v>12</v>
      </c>
      <c r="AE159" s="51" t="s">
        <v>12</v>
      </c>
      <c r="AF159" s="51"/>
      <c r="AG159" s="51"/>
      <c r="AH159" s="51"/>
      <c r="AI159" s="51"/>
      <c r="AJ159" s="51"/>
      <c r="AK159" s="51"/>
      <c r="AL159" s="51"/>
      <c r="AM159" s="51"/>
    </row>
    <row r="160" spans="1:39" ht="15.75" thickBot="1">
      <c r="A160" s="117"/>
      <c r="B160" s="120"/>
      <c r="C160" s="21" t="s">
        <v>28</v>
      </c>
      <c r="D160" s="41">
        <f t="shared" si="8"/>
        <v>112639</v>
      </c>
      <c r="E160" s="51" t="s">
        <v>12</v>
      </c>
      <c r="F160" s="51" t="s">
        <v>12</v>
      </c>
      <c r="G160" s="51" t="s">
        <v>12</v>
      </c>
      <c r="H160" s="51" t="s">
        <v>12</v>
      </c>
      <c r="I160" s="51" t="s">
        <v>12</v>
      </c>
      <c r="J160" s="51" t="s">
        <v>12</v>
      </c>
      <c r="K160" s="51" t="s">
        <v>12</v>
      </c>
      <c r="L160" s="51" t="s">
        <v>12</v>
      </c>
      <c r="M160" s="51"/>
      <c r="N160" s="51"/>
      <c r="O160" s="51" t="s">
        <v>12</v>
      </c>
      <c r="P160" s="51" t="s">
        <v>12</v>
      </c>
      <c r="Q160" s="51" t="s">
        <v>12</v>
      </c>
      <c r="R160" s="51" t="s">
        <v>12</v>
      </c>
      <c r="S160" s="51" t="s">
        <v>12</v>
      </c>
      <c r="T160" s="51" t="s">
        <v>12</v>
      </c>
      <c r="U160" s="51" t="s">
        <v>12</v>
      </c>
      <c r="V160" s="51" t="s">
        <v>12</v>
      </c>
      <c r="W160" s="51"/>
      <c r="X160" s="51"/>
      <c r="Y160" s="51"/>
      <c r="Z160" s="37">
        <v>261.06</v>
      </c>
      <c r="AA160" s="37">
        <v>102.66</v>
      </c>
      <c r="AB160" s="51" t="s">
        <v>12</v>
      </c>
      <c r="AC160" s="51" t="s">
        <v>12</v>
      </c>
      <c r="AD160" s="51" t="s">
        <v>12</v>
      </c>
      <c r="AE160" s="51" t="s">
        <v>12</v>
      </c>
      <c r="AF160" s="51"/>
      <c r="AG160" s="51"/>
      <c r="AH160" s="51"/>
      <c r="AI160" s="51"/>
      <c r="AJ160" s="51"/>
      <c r="AK160" s="51"/>
      <c r="AL160" s="51"/>
      <c r="AM160" s="51"/>
    </row>
    <row r="161" spans="4:39" ht="15.75" thickBot="1">
      <c r="D161" s="56" t="s">
        <v>32</v>
      </c>
      <c r="E161" s="57">
        <f t="shared" ref="E161" si="9">AVERAGE(E7:E9,E11:E14,E16:E101,E103:E115,E117:E122,E124,E126:E127,E131:E136,E141,E146,E148:E150,E160)</f>
        <v>267.30975206611566</v>
      </c>
      <c r="F161" s="57">
        <f t="shared" ref="F161" si="10">AVERAGE(F7:F9,F11:F14,F16:F101,F103:F115,F117:F122,F124,F126:F127,F131:F136,F141,F146,F148:F150,F160)</f>
        <v>512.97818181818161</v>
      </c>
      <c r="G161" s="57">
        <f t="shared" ref="G161" si="11">AVERAGE(G7:G9,G11:G14,G16:G101,G103:G115,G117:G122,G124,G126:G127,G131:G136,G141,G146,G148:G150,G160)</f>
        <v>479.67322314049579</v>
      </c>
      <c r="H161" s="57">
        <f t="shared" ref="H161" si="12">AVERAGE(H7:H9,H11:H14,H16:H101,H103:H115,H117:H122,H124,H126:H127,H131:H136,H141,H146,H148:H150,H160)</f>
        <v>725.79016528925615</v>
      </c>
      <c r="I161" s="57">
        <f t="shared" ref="I161" si="13">AVERAGE(I7:I9,I11:I14,I16:I101,I103:I115,I117:I122,I124,I126:I127,I131:I136,I141,I146,I148:I150,I160)</f>
        <v>556.11694214876047</v>
      </c>
      <c r="J161" s="57">
        <f t="shared" ref="J161" si="14">AVERAGE(J7:J9,J11:J14,J16:J101,J103:J115,J117:J122,J124,J126:J127,J131:J136,J141,J146,J148:J150,J160)</f>
        <v>887.80619834710751</v>
      </c>
      <c r="K161" s="57">
        <f t="shared" ref="K161" si="15">AVERAGE(K7:K9,K11:K14,K16:K101,K103:K115,K117:K122,K124,K126:K127,K131:K136,K141,K146,K148:K150,K160)</f>
        <v>-67.128099173553721</v>
      </c>
      <c r="L161" s="57">
        <f t="shared" ref="L161:N161" si="16">AVERAGE(L7:L9,L11:L14,L16:L101,L103:L115,L117:L122,L124,L126:L127,L131:L136,L141,L146,L148:L150,L160)</f>
        <v>-123.70421487603308</v>
      </c>
      <c r="M161" s="57">
        <f t="shared" si="16"/>
        <v>485.02247933884303</v>
      </c>
      <c r="N161" s="57">
        <f t="shared" si="16"/>
        <v>736.92057851239633</v>
      </c>
      <c r="O161" s="57">
        <f t="shared" ref="O161" si="17">AVERAGE(O7:O9,O11:O14,O16:O101,O103:O115,O117:O122,O124,O126:O127,O131:O136,O141,O146,O148:O150,O160)</f>
        <v>181.45272727272729</v>
      </c>
      <c r="P161" s="57">
        <f t="shared" ref="P161" si="18">AVERAGE(P7:P9,P11:P14,P16:P101,P103:P115,P117:P122,P124,P126:P127,P131:P136,P141,P146,P148:P150,P160)</f>
        <v>241.25991735537193</v>
      </c>
      <c r="Q161" s="57">
        <f t="shared" ref="Q161" si="19">AVERAGE(Q7:Q9,Q11:Q14,Q16:Q101,Q103:Q115,Q117:Q122,Q124,Q126:Q127,Q131:Q136,Q141,Q146,Q148:Q150,Q160)</f>
        <v>561.07380165289237</v>
      </c>
      <c r="R161" s="57">
        <f t="shared" ref="R161" si="20">AVERAGE(R7:R9,R11:R14,R16:R101,R103:R115,R117:R122,R124,R126:R127,R131:R136,R141,R146,R148:R150,R160)</f>
        <v>895.34710743801634</v>
      </c>
      <c r="S161" s="57">
        <f t="shared" ref="S161:T161" si="21">AVERAGE(S7:S9,S11:S14,S16:S101,S103:S115,S117:S122,S124,S126:S127,S131:S136,S141,S146,S148:S150,S160)</f>
        <v>68.770165289256184</v>
      </c>
      <c r="T161" s="57">
        <f t="shared" si="21"/>
        <v>75.696198347107412</v>
      </c>
      <c r="U161" s="57">
        <f>AVERAGE(U7:U9,U11:U14,U16:U101,U103:U115,U117:U122,U124,U126:U127,U131:U136,U141,U146,U148:U150,U160)</f>
        <v>6.9928925619834743</v>
      </c>
      <c r="V161" s="57">
        <f>AVERAGE(V7:V9,V11:V14,V16:V101,V103:V115,V117:V122,V124,V126:V127,V131:V136,V141,V146,V148:V150,V160)</f>
        <v>10.129752066115698</v>
      </c>
      <c r="W161" s="57">
        <f>AVERAGE(W7:W9,W11:W14,W16:W101,W103:W115,W117:W122,W124,W126:W127,W131:W136,W141,W146,W148:W150,W160)</f>
        <v>-78.982727272727274</v>
      </c>
      <c r="X161" s="57">
        <f>AVERAGE(X7:X9,X11:X14,X16:X101,X103:X115,X117:X122,X124,X126:X127,X131:X136,X141,X146,X148:X150,X160)</f>
        <v>1.7320661157024797</v>
      </c>
      <c r="Y161" s="57">
        <f>AVERAGE(Y7:Y9,Y11:Y14,Y16:Y101,Y103:Y115,Y117:Y122,Y124,Y126:Y127,Y131:Y136,Y141,Y146,Y148:Y150,Y160)</f>
        <v>59.160661157024805</v>
      </c>
      <c r="Z161" s="57">
        <f>AVERAGE(Z21:Z101,Z103:Z115,Z117:Z122,Z124,Z126:Z127,Z131:Z136,Z141,Z146,Z148:Z150,Z160)</f>
        <v>154.41852173913045</v>
      </c>
      <c r="AA161" s="57">
        <f>AVERAGE(AA7:AA9,AA11:AA14,AA16:AA24,AA26:AA101,AA103:AA115,AA117:AA122,AA124,AA126:AA127,AA131:AA136,AA141,AA146,AA148:AA150,AA160)</f>
        <v>46.849385964912287</v>
      </c>
      <c r="AB161" s="57">
        <f>AVERAGE(AB8:AB9,AB12:AB13,AB19,AB24,AB26,AB36:AB38,AB41,AB43,AB45,AB64,AB69,AB71,AB73,AB75,AB79,AB82:AB83,AB92,AB101,AB106,AB110:AB111,AB113,AB115,AB117,AB120:AB122,AB124,AB127,AB131,AB134:AB135,AB141,AB149)</f>
        <v>3.5108461538461539</v>
      </c>
      <c r="AC161" s="57">
        <f>AVERAGE(AC8:AC9,AC12:AC13,AC19,AC24,AC26,AC36:AC38,AC41,AC43,AC45,AC64,AC69,AC71,AC73,AC75,AC79,AC82:AC83,AC92,AC101,AC106,AC110:AC111,AC113,AC115,AC117,AC120:AC122,AC124,AC127,AC131,AC134:AC135,AC141,AC149)</f>
        <v>10.463217948717952</v>
      </c>
      <c r="AD161" s="57">
        <f>AVERAGE(AD8:AD9,AD12:AD13,AD19,AD24,AD26,AD36:AD38,AD41,AD43,AD45,AD64,AD69,AD71,AD73,AD75,AD79,AD82:AD83,AD92,AD101,AD106,AD110:AD111,AD113,AD115,AD117,AD120:AD122,AD124,AD127,AD131,AD134:AD135,AD141,AD149)</f>
        <v>-1.7509525641025643</v>
      </c>
      <c r="AE161" s="57"/>
      <c r="AF161" s="57" t="e">
        <f>AVERAGE(AF8:AF9,AF12:AF13,AF19,AF24,AF26,AF36:AF38,AF41,AF43,AF45,AF64,AF69,AF71,AF73,AF75,AF79,AF82:AF83,AF92,AF101,AF106,AF110:AF111,AF113,AF115,AF117,AF120:AF122,AF124,AF127,AF131,AF134:AF135,AF141,AF149,AF150)</f>
        <v>#DIV/0!</v>
      </c>
      <c r="AG161" s="57" t="e">
        <f>AVERAGE(AG8:AG9,AG12:AG13,AG19,AG24,AG26,AG36:AG38,AG41,AG43,AG45,AG64,AG69,AG71,AG73,AG75,AG79,AG82:AG83,AG92,AG101,AG106,AG110:AG111,AG113,AG115,AG117,AG120:AG122,AG124,AG127,AG131,AG134:AG135,AG141,AG149,AG150)</f>
        <v>#DIV/0!</v>
      </c>
      <c r="AH161" s="57"/>
      <c r="AI161" s="57"/>
      <c r="AJ161" s="57"/>
      <c r="AK161" s="57"/>
      <c r="AL161" s="57"/>
      <c r="AM161" s="57"/>
    </row>
    <row r="162" spans="4:39" ht="15.75" thickBot="1">
      <c r="D162" s="55" t="s">
        <v>33</v>
      </c>
      <c r="E162" s="58">
        <f t="shared" ref="E162:R162" si="22">STDEV(E7:E9,E11:E14,E16:E101,E103:E115,E117:E122,E124,E126:E127,E131:E136,E141,E146,E148:E150,E160)</f>
        <v>32.096572804139065</v>
      </c>
      <c r="F162" s="58">
        <f t="shared" si="22"/>
        <v>52.735049160877203</v>
      </c>
      <c r="G162" s="58">
        <f t="shared" si="22"/>
        <v>97.167632532777844</v>
      </c>
      <c r="H162" s="58">
        <f t="shared" si="22"/>
        <v>145.59680147003817</v>
      </c>
      <c r="I162" s="58">
        <f t="shared" si="22"/>
        <v>88.916230631635571</v>
      </c>
      <c r="J162" s="58">
        <f t="shared" si="22"/>
        <v>130.72636626592683</v>
      </c>
      <c r="K162" s="58">
        <f t="shared" si="22"/>
        <v>30.154613945299978</v>
      </c>
      <c r="L162" s="58">
        <f t="shared" si="22"/>
        <v>50.312904371079952</v>
      </c>
      <c r="M162" s="58">
        <f t="shared" si="22"/>
        <v>98.443449708288071</v>
      </c>
      <c r="N162" s="58">
        <f t="shared" si="22"/>
        <v>150.80656676848062</v>
      </c>
      <c r="O162" s="58">
        <f t="shared" si="22"/>
        <v>53.852141523496066</v>
      </c>
      <c r="P162" s="58">
        <f t="shared" si="22"/>
        <v>77.489401678507647</v>
      </c>
      <c r="Q162" s="58">
        <f t="shared" si="22"/>
        <v>90.010972129849321</v>
      </c>
      <c r="R162" s="58">
        <f t="shared" si="22"/>
        <v>134.83090656719176</v>
      </c>
      <c r="S162" s="58">
        <f>STDEV(S7:S9,S11:S14,S16:S101,S103:S115,S117:S122,S124,S126:S127,S131:S136,S141,S146,S148:S150,S160)</f>
        <v>3.1463529107711765</v>
      </c>
      <c r="T162" s="58">
        <f t="shared" ref="T162:V162" si="23">STDEV(T7:T9,T11:T14,T16:T101,T103:T115,T117:T122,T124,T126:T127,T131:T136,T141,T146,T148:T150,T160)</f>
        <v>2.2055306452200818</v>
      </c>
      <c r="U162" s="58">
        <f t="shared" si="23"/>
        <v>1.2331041034833659</v>
      </c>
      <c r="V162" s="58">
        <f t="shared" si="23"/>
        <v>2.5663587898064053</v>
      </c>
      <c r="W162" s="58">
        <f>STDEV(W7:W9,W11:W14,W16:W101,W103:W115,W117:W122,W124,W126:W127,W131:W136,W141,W146,W148:W150,W160)</f>
        <v>21.005618970488189</v>
      </c>
      <c r="X162" s="58">
        <f>STDEV(X7:X9,X11:X14,X16:X101,X103:X115,X117:X122,X124,X126:X127,X131:X136,X141,X146,X148:X150,X160)</f>
        <v>0.8638305363856309</v>
      </c>
      <c r="Y162" s="58">
        <f>STDEV(Y7:Y9,Y11:Y14,Y16:Y101,Y103:Y115,Y117:Y122,Y124,Y126:Y127,Y131:Y136,Y141,Y146,Y148:Y150,Y160)</f>
        <v>13.534069709165827</v>
      </c>
      <c r="Z162" s="94">
        <f>STDEV(Z22:Z102,Z104:Z116,Z118:Z123,Z125,Z127:Z128,Z132:Z137,Z142,Z147,Z149:Z151,Z161)</f>
        <v>428.76177719087735</v>
      </c>
      <c r="AA162" s="58">
        <f>STDEV(AA7:AA9,AA11:AA14,AA16:AA24,AA26:AA101,AA103:AA115,AA117:AA122,AA124,AA126:AA127,AA131:AA136,AA141,AA146,AA148:AA150,AA160)</f>
        <v>21.661075782250585</v>
      </c>
      <c r="AB162" s="58">
        <f>STDEV(AB8:AB9,AB12:AB13,AB19,AB24,AB26,AB36:AB38,AB41,AB43,AB45,AB64,AB69,AB71,AB73,AB75,AB79,AB82:AB83,AB92,AB101,AB106,AB110:AB111,AB113,AB115,AB117,AB120:AB122,AB124,AB127,AB131,AB134:AB135,AB141,AB149)</f>
        <v>1.6157804459123486</v>
      </c>
      <c r="AC162" s="58">
        <f>STDEV(AC8:AC9,AC12:AC13,AC19,AC24,AC26,AC36:AC38,AC41,AC43,AC45,AC64,AC69,AC71,AC73,AC75,AC79,AC82:AC83,AC92,AC101,AC106,AC110:AC111,AC113,AC115,AC117,AC120:AC122,AC124,AC127,AC131,AC134:AC135,AC141,AC149)</f>
        <v>62.702718239344016</v>
      </c>
      <c r="AD162" s="58">
        <f>STDEV(AD8:AD9,AD12:AD13,AD19,AD24,AD26,AD36:AD38,AD41,AD43,AD45,AD64,AD69,AD71,AD73,AD75,AD79,AD82:AD83,AD92,AD101,AD106,AD110:AD111,AD113,AD115,AD117,AD120:AD122,AD124,AD127,AD131,AD134:AD135,AD141,AD149)</f>
        <v>0.31745017096527506</v>
      </c>
      <c r="AE162" s="58"/>
      <c r="AF162" s="58" t="e">
        <f>STDEV(AF8:AF9,AF12:AF13,AF19,AF24,AF26,AF36:AF38,AF41,AF43,AF45,AF64,AF69,AF71,AF73,AF75,AF79,AF82:AF83,AF92,AF101,AF106,AF110:AF111,AF113,AF115,AF117,AF120:AF122,AF124,AF127,AF131,AF134:AF135,AF141,AF149,AF150)</f>
        <v>#DIV/0!</v>
      </c>
      <c r="AG162" s="58" t="e">
        <f>STDEV(AG8:AG9,AG12:AG13,AG19,AG24,AG26,AG36:AG38,AG41,AG43,AG45,AG64,AG69,AG71,AG73,AG75,AG79,AG82:AG83,AG92,AG101,AG106,AG110:AG111,AG113,AG115,AG117,AG120:AG122,AG124,AG127,AG131,AG134:AG135,AG141,AG149,AG150)</f>
        <v>#DIV/0!</v>
      </c>
      <c r="AH162" s="58"/>
      <c r="AI162" s="58"/>
      <c r="AJ162" s="58"/>
      <c r="AK162" s="58"/>
      <c r="AL162" s="58"/>
      <c r="AM162" s="58"/>
    </row>
  </sheetData>
  <mergeCells count="12">
    <mergeCell ref="A7:A160"/>
    <mergeCell ref="B35:B48"/>
    <mergeCell ref="B21:B34"/>
    <mergeCell ref="B7:B20"/>
    <mergeCell ref="B147:B160"/>
    <mergeCell ref="B133:B146"/>
    <mergeCell ref="B119:B132"/>
    <mergeCell ref="B63:B76"/>
    <mergeCell ref="B49:B62"/>
    <mergeCell ref="B105:B118"/>
    <mergeCell ref="B91:B104"/>
    <mergeCell ref="B77:B9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7"/>
  <sheetViews>
    <sheetView topLeftCell="P1" workbookViewId="0">
      <pane ySplit="1" topLeftCell="A2" activePane="bottomLeft" state="frozen"/>
      <selection pane="bottomLeft" activeCell="X21" sqref="X21"/>
    </sheetView>
  </sheetViews>
  <sheetFormatPr baseColWidth="10" defaultRowHeight="15"/>
  <cols>
    <col min="5" max="28" width="11.42578125" style="93"/>
    <col min="31" max="31" width="18" customWidth="1"/>
    <col min="34" max="34" width="17.5703125" customWidth="1"/>
  </cols>
  <sheetData>
    <row r="1" spans="1:36">
      <c r="B1" s="13" t="s">
        <v>9</v>
      </c>
      <c r="C1" s="13" t="s">
        <v>10</v>
      </c>
      <c r="D1" s="17" t="s">
        <v>0</v>
      </c>
      <c r="E1" s="86" t="s">
        <v>39</v>
      </c>
      <c r="F1" s="86" t="s">
        <v>38</v>
      </c>
      <c r="G1" s="86" t="s">
        <v>61</v>
      </c>
      <c r="H1" s="86" t="s">
        <v>62</v>
      </c>
      <c r="I1" s="86" t="s">
        <v>56</v>
      </c>
      <c r="J1" s="86" t="s">
        <v>57</v>
      </c>
      <c r="K1" s="86" t="s">
        <v>63</v>
      </c>
      <c r="L1" s="86" t="s">
        <v>60</v>
      </c>
      <c r="M1" s="86" t="s">
        <v>36</v>
      </c>
      <c r="N1" s="86" t="s">
        <v>37</v>
      </c>
      <c r="O1" s="86" t="s">
        <v>47</v>
      </c>
      <c r="P1" s="86" t="s">
        <v>48</v>
      </c>
      <c r="Q1" s="86" t="s">
        <v>73</v>
      </c>
      <c r="R1" s="86" t="s">
        <v>74</v>
      </c>
      <c r="S1" s="86" t="s">
        <v>45</v>
      </c>
      <c r="T1" s="86" t="s">
        <v>46</v>
      </c>
      <c r="U1" s="17" t="s">
        <v>42</v>
      </c>
      <c r="V1" s="17" t="s">
        <v>44</v>
      </c>
      <c r="W1" s="17" t="s">
        <v>43</v>
      </c>
      <c r="X1" s="86" t="s">
        <v>5</v>
      </c>
      <c r="Y1" s="86" t="s">
        <v>6</v>
      </c>
      <c r="Z1" s="86" t="s">
        <v>20</v>
      </c>
      <c r="AA1" s="86" t="s">
        <v>21</v>
      </c>
      <c r="AB1" s="86" t="s">
        <v>22</v>
      </c>
      <c r="AC1" s="65"/>
      <c r="AD1" s="65" t="s">
        <v>64</v>
      </c>
      <c r="AE1" s="65"/>
      <c r="AF1" s="65"/>
      <c r="AG1" s="65"/>
      <c r="AH1" s="65"/>
      <c r="AI1" s="65"/>
      <c r="AJ1" s="65"/>
    </row>
    <row r="2" spans="1:36">
      <c r="B2" s="14" t="s">
        <v>17</v>
      </c>
      <c r="C2" s="15" t="s">
        <v>13</v>
      </c>
      <c r="D2" s="16" t="s">
        <v>1</v>
      </c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16"/>
      <c r="V2" s="16"/>
      <c r="W2" s="16"/>
      <c r="X2" s="87"/>
      <c r="Y2" s="87"/>
      <c r="Z2" s="87"/>
      <c r="AA2" s="87"/>
      <c r="AB2" s="87"/>
      <c r="AC2" s="66"/>
      <c r="AD2" s="66"/>
      <c r="AE2" s="66"/>
      <c r="AF2" s="66"/>
      <c r="AG2" s="66"/>
      <c r="AH2" s="16"/>
      <c r="AI2" s="16"/>
      <c r="AJ2" s="16"/>
    </row>
    <row r="3" spans="1:36">
      <c r="A3" s="117" t="s">
        <v>75</v>
      </c>
      <c r="B3" s="118">
        <v>1</v>
      </c>
      <c r="C3" s="2" t="s">
        <v>16</v>
      </c>
      <c r="D3" s="41">
        <v>139</v>
      </c>
      <c r="E3" s="85">
        <f>(résultats!E7-résultats!E161)/résultats!E162</f>
        <v>0.13117437676527816</v>
      </c>
      <c r="F3" s="85">
        <f>(résultats!F7-résultats!F161)/résultats!F162</f>
        <v>-0.20324588653523371</v>
      </c>
      <c r="G3" s="85">
        <f>(résultats!G7-résultats!G161)/résultats!G162</f>
        <v>-0.96043528804733169</v>
      </c>
      <c r="H3" s="85">
        <f>(résultats!H7-résultats!H161)/résultats!H162</f>
        <v>-0.88422385649556434</v>
      </c>
      <c r="I3" s="85">
        <f>(résultats!I7-résultats!I161)/résultats!I162</f>
        <v>-0.91419689713926477</v>
      </c>
      <c r="J3" s="85">
        <f>(résultats!J7-résultats!J161)/résultats!J162</f>
        <v>-0.84149970269448326</v>
      </c>
      <c r="K3" s="85">
        <f>(résultats!K7-résultats!K161)/résultats!K162</f>
        <v>0.38097318023679433</v>
      </c>
      <c r="L3" s="85">
        <f>(résultats!L7-résultats!L161)/résultats!L162</f>
        <v>0.50134682525964547</v>
      </c>
      <c r="M3" s="85">
        <f>(résultats!O7-résultats!O161)/résultats!O162</f>
        <v>-1.0133808188281024</v>
      </c>
      <c r="N3" s="85">
        <f>(résultats!P7-résultats!P161)/résultats!P162</f>
        <v>-0.91831806432838603</v>
      </c>
      <c r="O3" s="85">
        <f>(résultats!Q7-résultats!Q161)/résultats!Q162</f>
        <v>-1.0470257061209918</v>
      </c>
      <c r="P3" s="85">
        <f>(résultats!R7-résultats!R161)/résultats!R162</f>
        <v>-0.83569198121400123</v>
      </c>
      <c r="Q3" s="85">
        <f>(résultats!S7-résultats!S161)/résultats!S162</f>
        <v>1.0169980296201198</v>
      </c>
      <c r="R3" s="85">
        <f>(résultats!T7-résultats!T161)/résultats!T162</f>
        <v>1.1397718088119055</v>
      </c>
      <c r="S3" s="85">
        <f>(résultats!U7-résultats!U161)/résultats!U162</f>
        <v>-0.3997169100249639</v>
      </c>
      <c r="T3" s="85">
        <f>(résultats!V7-résultats!V161)/résultats!V162</f>
        <v>-0.93897707354374982</v>
      </c>
      <c r="U3" s="85">
        <f>(résultats!W7-résultats!W161)/résultats!W162</f>
        <v>-0.13411995767565077</v>
      </c>
      <c r="V3" s="85">
        <f>(résultats!X7-résultats!X161)/résultats!X162</f>
        <v>-0.33810580131204776</v>
      </c>
      <c r="W3" s="85">
        <f>(résultats!Y7-résultats!Y161)/résultats!Y162</f>
        <v>-0.29412152017577819</v>
      </c>
      <c r="X3" s="85" t="s">
        <v>12</v>
      </c>
      <c r="Y3" s="85" t="s">
        <v>12</v>
      </c>
      <c r="Z3" s="85" t="s">
        <v>12</v>
      </c>
      <c r="AA3" s="85" t="s">
        <v>12</v>
      </c>
      <c r="AB3" s="85" t="s">
        <v>12</v>
      </c>
      <c r="AC3" s="67"/>
      <c r="AD3" s="67"/>
      <c r="AE3" s="67"/>
      <c r="AF3" s="67"/>
      <c r="AG3" s="25"/>
      <c r="AH3" s="25"/>
      <c r="AI3" s="25"/>
      <c r="AJ3" s="25"/>
    </row>
    <row r="4" spans="1:36">
      <c r="A4" s="117"/>
      <c r="B4" s="119"/>
      <c r="C4" s="1" t="s">
        <v>15</v>
      </c>
      <c r="D4" s="41">
        <v>139</v>
      </c>
      <c r="E4" s="43">
        <f>(résultats!E8-résultats!E161)/résultats!E162</f>
        <v>-2.7409532833430957E-2</v>
      </c>
      <c r="F4" s="43">
        <f>(résultats!F8-résultats!F161)/résultats!F162</f>
        <v>-0.42719561613483259</v>
      </c>
      <c r="G4" s="43">
        <f>(résultats!G8-résultats!G161)/résultats!G162</f>
        <v>-0.74256438342424524</v>
      </c>
      <c r="H4" s="43">
        <f>(résultats!H8-résultats!H161)/résultats!H162</f>
        <v>-0.6787248366138865</v>
      </c>
      <c r="I4" s="43">
        <f>(résultats!I8-résultats!I161)/résultats!I162</f>
        <v>-0.74898521536141138</v>
      </c>
      <c r="J4" s="43">
        <f>(résultats!J8-résultats!J161)/résultats!J162</f>
        <v>-0.73440577512733241</v>
      </c>
      <c r="K4" s="43">
        <f>(résultats!K8-résultats!K161)/résultats!K162</f>
        <v>0.18630976950143921</v>
      </c>
      <c r="L4" s="43">
        <f>(résultats!L8-résultats!L161)/résultats!L162</f>
        <v>0.27595733240980985</v>
      </c>
      <c r="M4" s="43">
        <f>(résultats!O8-résultats!O161)/résultats!O162</f>
        <v>-0.79221969759760158</v>
      </c>
      <c r="N4" s="43">
        <f>(résultats!P8-résultats!P161)/résultats!P162</f>
        <v>-0.65828250380619424</v>
      </c>
      <c r="O4" s="43">
        <f>(résultats!Q8-résultats!Q161)/résultats!Q162</f>
        <v>-0.75172837323966379</v>
      </c>
      <c r="P4" s="43">
        <f>(résultats!R8-résultats!R161)/résultats!R162</f>
        <v>-0.72955904504725677</v>
      </c>
      <c r="Q4" s="43">
        <f>(résultats!S8-résultats!S161)/résultats!S162</f>
        <v>0.794518218914959</v>
      </c>
      <c r="R4" s="43">
        <f>(résultats!T8-résultats!T161)/résultats!T162</f>
        <v>0.68183212786079062</v>
      </c>
      <c r="S4" s="43">
        <f>(résultats!U8-résultats!U161)/résultats!U162</f>
        <v>0.11118885877454637</v>
      </c>
      <c r="T4" s="43">
        <f>(résultats!V8-résultats!V161)/résultats!V162</f>
        <v>-0.50256108819959311</v>
      </c>
      <c r="U4" s="43">
        <f>(résultats!W8-résultats!W161)/résultats!W162</f>
        <v>-0.11602956002853189</v>
      </c>
      <c r="V4" s="43">
        <f>(résultats!X8-résultats!X161)/résultats!X162</f>
        <v>-0.21076601026894212</v>
      </c>
      <c r="W4" s="43">
        <f>(résultats!Y8-résultats!Y161)/résultats!Y162</f>
        <v>-0.15077956600465772</v>
      </c>
      <c r="X4" s="43" t="s">
        <v>12</v>
      </c>
      <c r="Y4" s="43" t="s">
        <v>12</v>
      </c>
      <c r="Z4" s="43">
        <f>(résultats!AB8-résultats!AB161)/résultats!AB162</f>
        <v>-1.5081542545034274</v>
      </c>
      <c r="AA4" s="43">
        <f>(résultats!AC8-résultats!AC161)/résultats!AC162</f>
        <v>-0.16428662485407619</v>
      </c>
      <c r="AB4" s="43">
        <f>(résultats!AD8-résultats!AD161)/résultats!AD162</f>
        <v>0.38605291573766354</v>
      </c>
      <c r="AC4" s="26"/>
      <c r="AD4" s="26"/>
      <c r="AE4" s="26"/>
      <c r="AF4" s="26"/>
      <c r="AG4" s="26"/>
      <c r="AH4" s="26"/>
      <c r="AI4" s="26"/>
      <c r="AJ4" s="26"/>
    </row>
    <row r="5" spans="1:36">
      <c r="A5" s="117"/>
      <c r="B5" s="119"/>
      <c r="C5" s="5" t="s">
        <v>14</v>
      </c>
      <c r="D5" s="41">
        <v>139</v>
      </c>
      <c r="E5" s="44">
        <f>(résultats!E9-résultats!E161)/résultats!E162</f>
        <v>0.22308450118889336</v>
      </c>
      <c r="F5" s="44">
        <f>(résultats!F9-résultats!F161)/résultats!F162</f>
        <v>5.5974503272260501E-2</v>
      </c>
      <c r="G5" s="44">
        <f>(résultats!G9-résultats!G161)/résultats!G162</f>
        <v>-1.0784787115724528</v>
      </c>
      <c r="H5" s="44">
        <f>(résultats!H9-résultats!H161)/résultats!H162</f>
        <v>-0.89974617551069092</v>
      </c>
      <c r="I5" s="44">
        <f>(résultats!I9-résultats!I161)/résultats!I162</f>
        <v>-1.0021448448249566</v>
      </c>
      <c r="J5" s="44">
        <f>(résultats!J9-résultats!J161)/résultats!J162</f>
        <v>-0.80501127165910336</v>
      </c>
      <c r="K5" s="44">
        <f>(résultats!K9-résultats!K161)/résultats!K162</f>
        <v>0.33520903938248586</v>
      </c>
      <c r="L5" s="44">
        <f>(résultats!L9-résultats!L161)/résultats!L162</f>
        <v>0.36440382651754943</v>
      </c>
      <c r="M5" s="44">
        <f>(résultats!O9-résultats!O161)/résultats!O162</f>
        <v>-1.1907182418130966</v>
      </c>
      <c r="N5" s="44">
        <f>(résultats!P9-résultats!P161)/résultats!P162</f>
        <v>-1.1112476737480765</v>
      </c>
      <c r="O5" s="44">
        <f>(résultats!Q9-résultats!Q161)/résultats!Q162</f>
        <v>-1.0062528990602515</v>
      </c>
      <c r="P5" s="44">
        <f>(résultats!R9-résultats!R161)/résultats!R162</f>
        <v>-0.78852178736211487</v>
      </c>
      <c r="Q5" s="44">
        <f>(résultats!S9-résultats!S161)/résultats!S162</f>
        <v>1.2617258213957943</v>
      </c>
      <c r="R5" s="44">
        <f>(résultats!T9-résultats!T161)/résultats!T162</f>
        <v>1.7019947834449667</v>
      </c>
      <c r="S5" s="44">
        <f>(résultats!U9-résultats!U161)/résultats!U162</f>
        <v>-0.19697652558071374</v>
      </c>
      <c r="T5" s="44">
        <f>(résultats!V9-résultats!V161)/résultats!V162</f>
        <v>-0.76752793644425954</v>
      </c>
      <c r="U5" s="44">
        <f>(résultats!W9-résultats!W161)/résultats!W162</f>
        <v>-0.1126971183566938</v>
      </c>
      <c r="V5" s="44">
        <f>(résultats!X9-résultats!X161)/résultats!X162</f>
        <v>-0.40756386915374171</v>
      </c>
      <c r="W5" s="44">
        <f>(résultats!Y9-résultats!Y161)/résultats!Y162</f>
        <v>-0.37392013383805139</v>
      </c>
      <c r="X5" s="44" t="s">
        <v>12</v>
      </c>
      <c r="Y5" s="44" t="s">
        <v>12</v>
      </c>
      <c r="Z5" s="44">
        <f>(résultats!AB9-résultats!AB161)/résultats!AB162</f>
        <v>-1.1900417279529714</v>
      </c>
      <c r="AA5" s="44">
        <f>(résultats!AC9-résultats!AC161)/résultats!AC162</f>
        <v>-0.16403942663946558</v>
      </c>
      <c r="AB5" s="44">
        <f>(résultats!AD9-résultats!AD161)/résultats!AD162</f>
        <v>0.43456446623761469</v>
      </c>
      <c r="AC5" s="27"/>
      <c r="AD5" s="27"/>
      <c r="AE5" s="27"/>
      <c r="AF5" s="27"/>
      <c r="AG5" s="27"/>
      <c r="AH5" s="27"/>
      <c r="AI5" s="27"/>
      <c r="AJ5" s="27"/>
    </row>
    <row r="6" spans="1:36">
      <c r="A6" s="117"/>
      <c r="B6" s="119"/>
      <c r="C6" s="12" t="s">
        <v>11</v>
      </c>
      <c r="D6" s="41">
        <v>139</v>
      </c>
      <c r="E6" s="45" t="s">
        <v>12</v>
      </c>
      <c r="F6" s="45" t="s">
        <v>12</v>
      </c>
      <c r="G6" s="45" t="s">
        <v>12</v>
      </c>
      <c r="H6" s="45" t="s">
        <v>12</v>
      </c>
      <c r="I6" s="45" t="s">
        <v>12</v>
      </c>
      <c r="J6" s="45" t="s">
        <v>12</v>
      </c>
      <c r="K6" s="45" t="s">
        <v>12</v>
      </c>
      <c r="L6" s="45" t="s">
        <v>12</v>
      </c>
      <c r="M6" s="45" t="s">
        <v>12</v>
      </c>
      <c r="N6" s="45" t="s">
        <v>12</v>
      </c>
      <c r="O6" s="45" t="s">
        <v>12</v>
      </c>
      <c r="P6" s="45" t="s">
        <v>12</v>
      </c>
      <c r="Q6" s="45" t="s">
        <v>12</v>
      </c>
      <c r="R6" s="45" t="s">
        <v>12</v>
      </c>
      <c r="S6" s="45" t="s">
        <v>12</v>
      </c>
      <c r="T6" s="45" t="s">
        <v>12</v>
      </c>
      <c r="U6" s="45" t="s">
        <v>12</v>
      </c>
      <c r="V6" s="45" t="s">
        <v>12</v>
      </c>
      <c r="W6" s="45" t="s">
        <v>12</v>
      </c>
      <c r="X6" s="45" t="s">
        <v>12</v>
      </c>
      <c r="Y6" s="45" t="s">
        <v>12</v>
      </c>
      <c r="Z6" s="45" t="s">
        <v>12</v>
      </c>
      <c r="AA6" s="45" t="s">
        <v>12</v>
      </c>
      <c r="AB6" s="45" t="s">
        <v>12</v>
      </c>
      <c r="AC6" s="51" t="s">
        <v>12</v>
      </c>
      <c r="AD6" s="51"/>
      <c r="AE6" s="51" t="s">
        <v>12</v>
      </c>
      <c r="AF6" s="51" t="s">
        <v>12</v>
      </c>
      <c r="AG6" s="51" t="s">
        <v>12</v>
      </c>
      <c r="AH6" s="51" t="s">
        <v>12</v>
      </c>
      <c r="AI6" s="51"/>
      <c r="AJ6" s="51"/>
    </row>
    <row r="7" spans="1:36">
      <c r="A7" s="117"/>
      <c r="B7" s="119"/>
      <c r="C7" s="3" t="s">
        <v>8</v>
      </c>
      <c r="D7" s="41">
        <v>139</v>
      </c>
      <c r="E7" s="88">
        <f>(résultats!E11-résultats!E161)/résultats!E162</f>
        <v>-0.1090381857113525</v>
      </c>
      <c r="F7" s="88">
        <f>(résultats!F11-résultats!F161)/résultats!F162</f>
        <v>-0.28023453193526521</v>
      </c>
      <c r="G7" s="88">
        <f>(résultats!G11-résultats!G161)/résultats!G162</f>
        <v>-0.80410751094649613</v>
      </c>
      <c r="H7" s="88">
        <f>(résultats!H11-résultats!H161)/résultats!H162</f>
        <v>-0.74459166818692435</v>
      </c>
      <c r="I7" s="88">
        <f>(résultats!I11-résultats!I161)/résultats!I162</f>
        <v>-0.81387775476632707</v>
      </c>
      <c r="J7" s="88">
        <f>(résultats!J11-résultats!J161)/résultats!J162</f>
        <v>-0.72277843442004108</v>
      </c>
      <c r="K7" s="88">
        <f>(résultats!K11-résultats!K161)/résultats!K162</f>
        <v>0.23008416510121246</v>
      </c>
      <c r="L7" s="88">
        <f>(résultats!L11-résultats!L161)/résultats!L162</f>
        <v>0.38785705416859068</v>
      </c>
      <c r="M7" s="88">
        <f>(résultats!O11-résultats!O161)/résultats!O162</f>
        <v>-0.83307229765697177</v>
      </c>
      <c r="N7" s="88">
        <f>(résultats!P11-résultats!P161)/résultats!P162</f>
        <v>-0.79997930055724453</v>
      </c>
      <c r="O7" s="88">
        <f>(résultats!Q11-résultats!Q161)/résultats!Q162</f>
        <v>-0.81705374259038688</v>
      </c>
      <c r="P7" s="88">
        <f>(résultats!R11-résultats!R161)/résultats!R162</f>
        <v>-0.71138813703827586</v>
      </c>
      <c r="Q7" s="88">
        <f>(résultats!S11-résultats!S161)/résultats!S162</f>
        <v>0.65785204948179177</v>
      </c>
      <c r="R7" s="88">
        <f>(résultats!T11-résultats!T161)/résultats!T162</f>
        <v>0.9402733339421121</v>
      </c>
      <c r="S7" s="88">
        <f>(résultats!U11-résultats!U161)/résultats!U162</f>
        <v>-9.9661141047473603E-2</v>
      </c>
      <c r="T7" s="88">
        <f>(résultats!V11-résultats!V161)/résultats!V162</f>
        <v>-0.52983708728360301</v>
      </c>
      <c r="U7" s="88">
        <f>(résultats!W11-résultats!W161)/résultats!W162</f>
        <v>-0.11840987550841583</v>
      </c>
      <c r="V7" s="88">
        <f>(résultats!X11-résultats!X161)/résultats!X162</f>
        <v>-0.22234235490922444</v>
      </c>
      <c r="W7" s="88">
        <f>(résultats!Y11-résultats!Y161)/résultats!Y162</f>
        <v>-0.16038495468622732</v>
      </c>
      <c r="X7" s="88" t="s">
        <v>12</v>
      </c>
      <c r="Y7" s="88" t="s">
        <v>12</v>
      </c>
      <c r="Z7" s="88" t="s">
        <v>12</v>
      </c>
      <c r="AA7" s="88" t="s">
        <v>12</v>
      </c>
      <c r="AB7" s="88" t="s">
        <v>12</v>
      </c>
      <c r="AC7" s="29"/>
      <c r="AD7" s="29"/>
      <c r="AE7" s="29"/>
      <c r="AF7" s="29"/>
      <c r="AG7" s="29"/>
      <c r="AH7" s="29"/>
      <c r="AI7" s="29"/>
      <c r="AJ7" s="29"/>
    </row>
    <row r="8" spans="1:36">
      <c r="A8" s="117"/>
      <c r="B8" s="119"/>
      <c r="C8" s="9" t="s">
        <v>7</v>
      </c>
      <c r="D8" s="41">
        <v>139</v>
      </c>
      <c r="E8" s="46">
        <f>(résultats!E12-résultats!E161)/résultats!E162</f>
        <v>5.5776918763535237E-2</v>
      </c>
      <c r="F8" s="46">
        <f>(résultats!F12-résultats!F161)/résultats!F162</f>
        <v>-0.37997844198555203</v>
      </c>
      <c r="G8" s="46">
        <f>(résultats!G12-résultats!G161)/résultats!G162</f>
        <v>-0.68452036348687062</v>
      </c>
      <c r="H8" s="46">
        <f>(résultats!H12-résultats!H161)/résultats!H162</f>
        <v>-0.64458947134610767</v>
      </c>
      <c r="I8" s="46">
        <f>(résultats!I12-résultats!I161)/résultats!I162</f>
        <v>-1.017777536293385</v>
      </c>
      <c r="J8" s="46">
        <f>(résultats!J12-résultats!J161)/résultats!J162</f>
        <v>-0.66991993159939756</v>
      </c>
      <c r="K8" s="46">
        <f>(résultats!K12-résultats!K161)/résultats!K162</f>
        <v>0.10075072355642771</v>
      </c>
      <c r="L8" s="46">
        <f>(résultats!L12-résultats!L161)/résultats!L162</f>
        <v>0.27138594057952209</v>
      </c>
      <c r="M8" s="46">
        <f>(résultats!O12-résultats!O161)/résultats!O162</f>
        <v>-0.7714220102946493</v>
      </c>
      <c r="N8" s="46">
        <f>(résultats!P12-résultats!P161)/résultats!P162</f>
        <v>-0.59337040110512107</v>
      </c>
      <c r="O8" s="46">
        <f>(résultats!Q12-résultats!Q161)/résultats!Q162</f>
        <v>-0.68040373527509979</v>
      </c>
      <c r="P8" s="46">
        <f>(résultats!R12-résultats!R161)/résultats!R162</f>
        <v>-0.66080626249898866</v>
      </c>
      <c r="Q8" s="46">
        <f>(résultats!S12-résultats!S161)/résultats!S162</f>
        <v>0.84537074707614179</v>
      </c>
      <c r="R8" s="46">
        <f>(résultats!T12-résultats!T161)/résultats!T162</f>
        <v>0.56848072168477104</v>
      </c>
      <c r="S8" s="46">
        <f>(résultats!U12-résultats!U161)/résultats!U162</f>
        <v>0.35447732010764638</v>
      </c>
      <c r="T8" s="46">
        <f>(résultats!V12-résultats!V161)/résultats!V162</f>
        <v>-0.3038359520160932</v>
      </c>
      <c r="U8" s="46">
        <f>(résultats!W12-résultats!W161)/résultats!W162</f>
        <v>-0.10460404572508848</v>
      </c>
      <c r="V8" s="46">
        <f>(résultats!X12-résultats!X161)/résultats!X162</f>
        <v>-0.21076601026894212</v>
      </c>
      <c r="W8" s="46">
        <f>(résultats!Y12-résultats!Y161)/résultats!Y162</f>
        <v>-0.14265192942794472</v>
      </c>
      <c r="X8" s="46" t="s">
        <v>12</v>
      </c>
      <c r="Y8" s="46" t="s">
        <v>12</v>
      </c>
      <c r="Z8" s="46">
        <f>(résultats!AB12-résultats!AB161)/résultats!AB162</f>
        <v>-1.1454812183972656</v>
      </c>
      <c r="AA8" s="46">
        <f>(résultats!AC12-résultats!AC161)/résultats!AC162</f>
        <v>-0.16355300434619946</v>
      </c>
      <c r="AB8" s="46">
        <f>(résultats!AD12-résultats!AD161)/résultats!AD162</f>
        <v>-0.35374822938658829</v>
      </c>
      <c r="AC8" s="30"/>
      <c r="AD8" s="30"/>
      <c r="AE8" s="30"/>
      <c r="AF8" s="30"/>
      <c r="AG8" s="30"/>
      <c r="AH8" s="30"/>
      <c r="AI8" s="30"/>
      <c r="AJ8" s="30"/>
    </row>
    <row r="9" spans="1:36">
      <c r="A9" s="117"/>
      <c r="B9" s="119"/>
      <c r="C9" s="7" t="s">
        <v>18</v>
      </c>
      <c r="D9" s="41">
        <v>139</v>
      </c>
      <c r="E9" s="47">
        <f>(résultats!E13-résultats!E161)/résultats!E162</f>
        <v>0.15111420036904658</v>
      </c>
      <c r="F9" s="47">
        <f>(résultats!F13-résultats!F161)/résultats!F162</f>
        <v>-0.18314540276084124</v>
      </c>
      <c r="G9" s="47">
        <f>(résultats!G13-résultats!G161)/résultats!G162</f>
        <v>-0.69995760283191699</v>
      </c>
      <c r="H9" s="47">
        <f>(résultats!H13-résultats!H161)/résultats!H162</f>
        <v>-0.60983596063082435</v>
      </c>
      <c r="I9" s="47">
        <f>(résultats!I13-résultats!I161)/résultats!I162</f>
        <v>-0.67284613533172621</v>
      </c>
      <c r="J9" s="47">
        <f>(résultats!J13-résultats!J161)/résultats!J162</f>
        <v>-0.62111569889379603</v>
      </c>
      <c r="K9" s="47">
        <f>(résultats!K13-résultats!K161)/résultats!K162</f>
        <v>0.26291496180104224</v>
      </c>
      <c r="L9" s="47">
        <f>(résultats!L13-résultats!L161)/résultats!L162</f>
        <v>0.23938619776750836</v>
      </c>
      <c r="M9" s="47">
        <f>(résultats!O13-résultats!O161)/résultats!O162</f>
        <v>-0.74913877389862871</v>
      </c>
      <c r="N9" s="47">
        <f>(résultats!P13-résultats!P161)/résultats!P162</f>
        <v>-0.6652511987283769</v>
      </c>
      <c r="O9" s="47">
        <f>(résultats!Q13-résultats!Q161)/résultats!Q162</f>
        <v>-0.68040373527509979</v>
      </c>
      <c r="P9" s="47">
        <f>(résultats!R13-résultats!R161)/résultats!R162</f>
        <v>-0.59754183583914777</v>
      </c>
      <c r="Q9" s="47">
        <f>(résultats!S13-résultats!S161)/résultats!S162</f>
        <v>0.75637882279407753</v>
      </c>
      <c r="R9" s="47">
        <f>(résultats!T13-résultats!T161)/résultats!T162</f>
        <v>0.6636959028726247</v>
      </c>
      <c r="S9" s="47">
        <f>(résultats!U13-résultats!U161)/résultats!U162</f>
        <v>-0.14020921793632349</v>
      </c>
      <c r="T9" s="47">
        <f>(résultats!V13-résultats!V161)/résultats!V162</f>
        <v>-0.64283765491735756</v>
      </c>
      <c r="U9" s="47">
        <f>(résultats!W13-résultats!W161)/résultats!W162</f>
        <v>-0.13507208386760422</v>
      </c>
      <c r="V9" s="47">
        <f>(résultats!X13-résultats!X161)/résultats!X162</f>
        <v>-0.23391869954950678</v>
      </c>
      <c r="W9" s="47">
        <f>(résultats!Y13-résultats!Y161)/résultats!Y162</f>
        <v>-0.17442359968236834</v>
      </c>
      <c r="X9" s="47" t="s">
        <v>12</v>
      </c>
      <c r="Y9" s="47" t="s">
        <v>12</v>
      </c>
      <c r="Z9" s="47">
        <f>(résultats!AB13-résultats!AB161)/résultats!AB162</f>
        <v>-1.263071451947045</v>
      </c>
      <c r="AA9" s="47">
        <f>(résultats!AC13-résultats!AC161)/résultats!AC162</f>
        <v>-0.16435839207767283</v>
      </c>
      <c r="AB9" s="47">
        <f>(résultats!AD13-résultats!AD161)/résultats!AD162</f>
        <v>-0.14253397867089265</v>
      </c>
      <c r="AC9" s="31"/>
      <c r="AD9" s="31"/>
      <c r="AE9" s="31"/>
      <c r="AF9" s="31"/>
      <c r="AG9" s="31"/>
      <c r="AH9" s="31"/>
      <c r="AI9" s="31"/>
      <c r="AJ9" s="31"/>
    </row>
    <row r="10" spans="1:36">
      <c r="A10" s="117"/>
      <c r="B10" s="119"/>
      <c r="C10" s="6" t="s">
        <v>19</v>
      </c>
      <c r="D10" s="41">
        <v>139</v>
      </c>
      <c r="E10" s="89">
        <f>(résultats!E14-résultats!E161)/résultats!E162</f>
        <v>9.6279685458685663E-2</v>
      </c>
      <c r="F10" s="89">
        <f>(résultats!F14-résultats!F161)/résultats!F162</f>
        <v>-0.37940956036929507</v>
      </c>
      <c r="G10" s="89">
        <f>(résultats!G14-résultats!G161)/résultats!G162</f>
        <v>-1.9300997487741742</v>
      </c>
      <c r="H10" s="89">
        <f>(résultats!H14-résultats!H161)/résultats!H162</f>
        <v>-0.85070663667529078</v>
      </c>
      <c r="I10" s="89">
        <f>(résultats!I14-résultats!I161)/résultats!I162</f>
        <v>-0.86752375354647393</v>
      </c>
      <c r="J10" s="89">
        <f>(résultats!J14-résultats!J161)/résultats!J162</f>
        <v>-0.84463602485894962</v>
      </c>
      <c r="K10" s="89">
        <f>(résultats!K14-résultats!K161)/résultats!K162</f>
        <v>0.40849798959119715</v>
      </c>
      <c r="L10" s="89">
        <f>(résultats!L14-résultats!L161)/résultats!L162</f>
        <v>0.44907395346113865</v>
      </c>
      <c r="M10" s="89">
        <f>(résultats!O14-résultats!O161)/résultats!O162</f>
        <v>-0.92461926051728838</v>
      </c>
      <c r="N10" s="89">
        <f>(résultats!P14-résultats!P161)/résultats!P162</f>
        <v>-0.80785134482119192</v>
      </c>
      <c r="O10" s="89">
        <f>(résultats!Q14-résultats!Q161)/résultats!Q162</f>
        <v>-0.87693533116188238</v>
      </c>
      <c r="P10" s="89">
        <f>(résultats!R14-résultats!R161)/résultats!R162</f>
        <v>-0.83991949858751891</v>
      </c>
      <c r="Q10" s="89">
        <f>(résultats!S14-résultats!S161)/résultats!S162</f>
        <v>0.92164953931790927</v>
      </c>
      <c r="R10" s="89">
        <f>(résultats!T14-résultats!T161)/résultats!T162</f>
        <v>0.94934144643619833</v>
      </c>
      <c r="S10" s="89">
        <f>(résultats!U14-résultats!U161)/résultats!U162</f>
        <v>-0.39160729464719407</v>
      </c>
      <c r="T10" s="89">
        <f>(résultats!V14-résultats!V161)/résultats!V162</f>
        <v>-0.69738965308537737</v>
      </c>
      <c r="U10" s="89">
        <f>(résultats!W14-résultats!W161)/résultats!W162</f>
        <v>-1.8436625353284209E-2</v>
      </c>
      <c r="V10" s="89">
        <f>(résultats!X14-résultats!X161)/résultats!X162</f>
        <v>-0.73170151908164649</v>
      </c>
      <c r="W10" s="89">
        <f>(résultats!Y14-résultats!Y161)/résultats!Y162</f>
        <v>-0.84606193133983543</v>
      </c>
      <c r="X10" s="89" t="s">
        <v>12</v>
      </c>
      <c r="Y10" s="89" t="s">
        <v>12</v>
      </c>
      <c r="Z10" s="89" t="s">
        <v>12</v>
      </c>
      <c r="AA10" s="89" t="s">
        <v>12</v>
      </c>
      <c r="AB10" s="89" t="s">
        <v>12</v>
      </c>
      <c r="AC10" s="32"/>
      <c r="AD10" s="32"/>
      <c r="AE10" s="32"/>
      <c r="AF10" s="32"/>
      <c r="AG10" s="32"/>
      <c r="AH10" s="32"/>
      <c r="AI10" s="32"/>
      <c r="AJ10" s="32"/>
    </row>
    <row r="11" spans="1:36">
      <c r="A11" s="117"/>
      <c r="B11" s="119"/>
      <c r="C11" s="4" t="s">
        <v>23</v>
      </c>
      <c r="D11" s="41">
        <v>139</v>
      </c>
      <c r="E11" s="48" t="s">
        <v>12</v>
      </c>
      <c r="F11" s="48" t="s">
        <v>12</v>
      </c>
      <c r="G11" s="48" t="s">
        <v>12</v>
      </c>
      <c r="H11" s="48" t="s">
        <v>12</v>
      </c>
      <c r="I11" s="48" t="s">
        <v>12</v>
      </c>
      <c r="J11" s="48" t="s">
        <v>12</v>
      </c>
      <c r="K11" s="48" t="s">
        <v>12</v>
      </c>
      <c r="L11" s="48" t="s">
        <v>12</v>
      </c>
      <c r="M11" s="48" t="s">
        <v>12</v>
      </c>
      <c r="N11" s="48" t="s">
        <v>12</v>
      </c>
      <c r="O11" s="48" t="s">
        <v>12</v>
      </c>
      <c r="P11" s="48" t="s">
        <v>12</v>
      </c>
      <c r="Q11" s="48" t="s">
        <v>12</v>
      </c>
      <c r="R11" s="48" t="s">
        <v>12</v>
      </c>
      <c r="S11" s="48" t="s">
        <v>12</v>
      </c>
      <c r="T11" s="48" t="s">
        <v>12</v>
      </c>
      <c r="U11" s="48" t="s">
        <v>12</v>
      </c>
      <c r="V11" s="48" t="s">
        <v>12</v>
      </c>
      <c r="W11" s="48" t="s">
        <v>12</v>
      </c>
      <c r="X11" s="48" t="s">
        <v>12</v>
      </c>
      <c r="Y11" s="48" t="s">
        <v>12</v>
      </c>
      <c r="Z11" s="48" t="s">
        <v>12</v>
      </c>
      <c r="AA11" s="48" t="s">
        <v>12</v>
      </c>
      <c r="AB11" s="48" t="s">
        <v>12</v>
      </c>
      <c r="AC11" s="51" t="s">
        <v>12</v>
      </c>
      <c r="AD11" s="51"/>
      <c r="AE11" s="51" t="s">
        <v>12</v>
      </c>
      <c r="AF11" s="51" t="s">
        <v>12</v>
      </c>
      <c r="AG11" s="51" t="s">
        <v>12</v>
      </c>
      <c r="AH11" s="51" t="s">
        <v>12</v>
      </c>
      <c r="AI11" s="51"/>
      <c r="AJ11" s="51"/>
    </row>
    <row r="12" spans="1:36">
      <c r="A12" s="117"/>
      <c r="B12" s="119"/>
      <c r="C12" s="10" t="s">
        <v>24</v>
      </c>
      <c r="D12" s="41">
        <v>139</v>
      </c>
      <c r="E12" s="90">
        <f>(résultats!E16-résultats!E161)/résultats!E162</f>
        <v>7.260114492921256E-2</v>
      </c>
      <c r="F12" s="90">
        <f>(résultats!F16-résultats!F161)/résultats!F162</f>
        <v>-0.18883421892340535</v>
      </c>
      <c r="G12" s="90">
        <f>(résultats!G16-résultats!G161)/résultats!G162</f>
        <v>-0.65498377887334924</v>
      </c>
      <c r="H12" s="90">
        <f>(résultats!H16-résultats!H161)/résultats!H162</f>
        <v>-0.56320032075794402</v>
      </c>
      <c r="I12" s="90">
        <f>(résultats!I16-résultats!I161)/résultats!I162</f>
        <v>-0.64236801023860313</v>
      </c>
      <c r="J12" s="90">
        <f>(résultats!J16-résultats!J161)/résultats!J162</f>
        <v>-0.56343796933263079</v>
      </c>
      <c r="K12" s="90">
        <f>(résultats!K16-résultats!K161)/résultats!K162</f>
        <v>0.22709954721940961</v>
      </c>
      <c r="L12" s="90">
        <f>(résultats!L16-résultats!L161)/résultats!L162</f>
        <v>0.30577075738994686</v>
      </c>
      <c r="M12" s="90">
        <f>(résultats!O16-résultats!O161)/résultats!O162</f>
        <v>-0.69250221472541096</v>
      </c>
      <c r="N12" s="90">
        <f>(résultats!P16-résultats!P161)/résultats!P162</f>
        <v>-0.57569056398773133</v>
      </c>
      <c r="O12" s="90">
        <f>(résultats!Q16-résultats!Q161)/résultats!Q162</f>
        <v>-0.64896312383589105</v>
      </c>
      <c r="P12" s="90">
        <f>(résultats!R16-résultats!R161)/résultats!R162</f>
        <v>-0.55608249879008398</v>
      </c>
      <c r="Q12" s="90">
        <f>(résultats!S16-résultats!S161)/résultats!S162</f>
        <v>0.6514954834616411</v>
      </c>
      <c r="R12" s="90">
        <f>(résultats!T16-résultats!T161)/résultats!T162</f>
        <v>1.0218863463888492</v>
      </c>
      <c r="S12" s="90">
        <f>(résultats!U16-résultats!U161)/résultats!U162</f>
        <v>-2.3457565142334436E-3</v>
      </c>
      <c r="T12" s="90">
        <f>(résultats!V16-résultats!V161)/résultats!V162</f>
        <v>-8.5627959344014654E-2</v>
      </c>
      <c r="U12" s="90">
        <f>(résultats!W16-résultats!W161)/résultats!W162</f>
        <v>-0.13221570529174387</v>
      </c>
      <c r="V12" s="90">
        <f>(résultats!X16-résultats!X161)/résultats!X162</f>
        <v>-0.19918966562865978</v>
      </c>
      <c r="W12" s="90">
        <f>(résultats!Y16-résultats!Y161)/résultats!Y162</f>
        <v>-0.13600204495608836</v>
      </c>
      <c r="X12" s="90" t="s">
        <v>12</v>
      </c>
      <c r="Y12" s="90" t="s">
        <v>12</v>
      </c>
      <c r="Z12" s="90" t="s">
        <v>12</v>
      </c>
      <c r="AA12" s="90" t="s">
        <v>12</v>
      </c>
      <c r="AB12" s="90" t="s">
        <v>12</v>
      </c>
      <c r="AC12" s="34"/>
      <c r="AD12" s="34"/>
      <c r="AE12" s="34"/>
      <c r="AF12" s="34"/>
      <c r="AG12" s="34"/>
      <c r="AH12" s="34"/>
      <c r="AI12" s="34"/>
      <c r="AJ12" s="34"/>
    </row>
    <row r="13" spans="1:36">
      <c r="A13" s="117"/>
      <c r="B13" s="119"/>
      <c r="C13" s="11" t="s">
        <v>25</v>
      </c>
      <c r="D13" s="41">
        <v>139</v>
      </c>
      <c r="E13" s="49">
        <f>(résultats!E17-résultats!E161)/résultats!E162</f>
        <v>-0.2504863094005757</v>
      </c>
      <c r="F13" s="49">
        <f>(résultats!F17-résultats!F161)/résultats!F162</f>
        <v>-0.72547921025859896</v>
      </c>
      <c r="G13" s="49">
        <f>(résultats!G17-résultats!G161)/résultats!G162</f>
        <v>-1.1173805547219693</v>
      </c>
      <c r="H13" s="49">
        <f>(résultats!H17-résultats!H161)/résultats!H162</f>
        <v>-1.0571672161419756</v>
      </c>
      <c r="I13" s="49">
        <f>(résultats!I17-résultats!I161)/résultats!I162</f>
        <v>-1.1357537474472097</v>
      </c>
      <c r="J13" s="49">
        <f>(résultats!J17-résultats!J161)/résultats!J162</f>
        <v>-1.1565853367295502</v>
      </c>
      <c r="K13" s="49">
        <f>(résultats!K17-résultats!K161)/résultats!K162</f>
        <v>0.50334251339070579</v>
      </c>
      <c r="L13" s="49">
        <f>(résultats!L17-résultats!L161)/résultats!L162</f>
        <v>0.62040176901365951</v>
      </c>
      <c r="M13" s="49">
        <f>(résultats!O17-résultats!O161)/résultats!O162</f>
        <v>-1.0781878980131945</v>
      </c>
      <c r="N13" s="49">
        <f>(résultats!P17-résultats!P161)/résultats!P162</f>
        <v>-1.0120082960599548</v>
      </c>
      <c r="O13" s="49">
        <f>(résultats!Q17-résultats!Q161)/résultats!Q162</f>
        <v>-1.1439027844778451</v>
      </c>
      <c r="P13" s="49">
        <f>(résultats!R17-résultats!R161)/résultats!R162</f>
        <v>-1.1379965569062787</v>
      </c>
      <c r="Q13" s="49">
        <f>(résultats!S17-résultats!S161)/résultats!S162</f>
        <v>0.98203691650930913</v>
      </c>
      <c r="R13" s="49">
        <f>(résultats!T17-résultats!T161)/résultats!T162</f>
        <v>0.89493277147170691</v>
      </c>
      <c r="S13" s="49">
        <f>(résultats!U17-résultats!U161)/résultats!U162</f>
        <v>-0.3997169100249639</v>
      </c>
      <c r="T13" s="49">
        <f>(résultats!V17-résultats!V161)/résultats!V162</f>
        <v>-1.0013222143072009</v>
      </c>
      <c r="U13" s="49">
        <f>(résultats!W17-résultats!W161)/résultats!W162</f>
        <v>-0.14506940888311778</v>
      </c>
      <c r="V13" s="49">
        <f>(résultats!X17-résultats!X161)/résultats!X162</f>
        <v>-0.32652945667176542</v>
      </c>
      <c r="W13" s="49">
        <f>(résultats!Y17-résultats!Y161)/résultats!Y162</f>
        <v>-0.28377725544177973</v>
      </c>
      <c r="X13" s="49" t="s">
        <v>12</v>
      </c>
      <c r="Y13" s="49" t="s">
        <v>12</v>
      </c>
      <c r="Z13" s="49" t="s">
        <v>12</v>
      </c>
      <c r="AA13" s="49" t="s">
        <v>12</v>
      </c>
      <c r="AB13" s="49" t="s">
        <v>12</v>
      </c>
      <c r="AC13" s="35"/>
      <c r="AD13" s="35"/>
      <c r="AE13" s="35"/>
      <c r="AF13" s="35"/>
      <c r="AG13" s="35"/>
      <c r="AH13" s="35"/>
      <c r="AI13" s="35"/>
      <c r="AJ13" s="35"/>
    </row>
    <row r="14" spans="1:36">
      <c r="A14" s="117"/>
      <c r="B14" s="119"/>
      <c r="C14" s="8" t="s">
        <v>26</v>
      </c>
      <c r="D14" s="41">
        <v>139</v>
      </c>
      <c r="E14" s="91">
        <f>(résultats!E18-résultats!E161)/résultats!E162</f>
        <v>0.45550807007030253</v>
      </c>
      <c r="F14" s="91">
        <f>(résultats!F18-résultats!F161)/résultats!F162</f>
        <v>0.35520623342312319</v>
      </c>
      <c r="G14" s="91">
        <f>(résultats!G18-résultats!G161)/résultats!G162</f>
        <v>-0.65199924593330671</v>
      </c>
      <c r="H14" s="91">
        <f>(résultats!H18-résultats!H161)/résultats!H162</f>
        <v>-0.55557652690538162</v>
      </c>
      <c r="I14" s="91">
        <f>(résultats!I18-résultats!I161)/résultats!I162</f>
        <v>-0.56274250261524028</v>
      </c>
      <c r="J14" s="91">
        <f>(résultats!J18-résultats!J161)/résultats!J162</f>
        <v>-0.43347183866363831</v>
      </c>
      <c r="K14" s="91">
        <f>(résultats!K18-résultats!K161)/résultats!K162</f>
        <v>0.41181423168208914</v>
      </c>
      <c r="L14" s="91">
        <f>(résultats!L18-résultats!L161)/résultats!L162</f>
        <v>0.44748390412886474</v>
      </c>
      <c r="M14" s="91">
        <f>(résultats!O18-résultats!O161)/résultats!O162</f>
        <v>-0.69825871746104951</v>
      </c>
      <c r="N14" s="91">
        <f>(résultats!P18-résultats!P161)/résultats!P162</f>
        <v>-0.67402659233408868</v>
      </c>
      <c r="O14" s="91">
        <f>(résultats!Q18-résultats!Q161)/résultats!Q162</f>
        <v>-0.57808287613901876</v>
      </c>
      <c r="P14" s="91">
        <f>(résultats!R18-résultats!R161)/résultats!R162</f>
        <v>-0.43867618296062461</v>
      </c>
      <c r="Q14" s="91">
        <f>(résultats!S18-résultats!S161)/résultats!S162</f>
        <v>0.6514954834616411</v>
      </c>
      <c r="R14" s="91">
        <f>(résultats!T18-résultats!T161)/résultats!T162</f>
        <v>1.0400225713770088</v>
      </c>
      <c r="S14" s="91">
        <f>(résultats!U18-résultats!U161)/résultats!U162</f>
        <v>-0.63489575598029413</v>
      </c>
      <c r="T14" s="91">
        <f>(résultats!V18-résultats!V161)/résultats!V162</f>
        <v>-0.94677021613918111</v>
      </c>
      <c r="U14" s="91">
        <f>(résultats!W18-résultats!W161)/résultats!W162</f>
        <v>-0.16792043749000526</v>
      </c>
      <c r="V14" s="91">
        <f>(résultats!X18-résultats!X161)/résultats!X162</f>
        <v>-0.2802240781106361</v>
      </c>
      <c r="W14" s="91">
        <f>(résultats!Y18-résultats!Y161)/résultats!Y162</f>
        <v>-0.22466717124750341</v>
      </c>
      <c r="X14" s="91" t="s">
        <v>12</v>
      </c>
      <c r="Y14" s="91" t="s">
        <v>12</v>
      </c>
      <c r="Z14" s="91" t="s">
        <v>12</v>
      </c>
      <c r="AA14" s="91" t="s">
        <v>12</v>
      </c>
      <c r="AB14" s="91" t="s">
        <v>12</v>
      </c>
      <c r="AC14" s="36"/>
      <c r="AD14" s="36"/>
      <c r="AE14" s="36"/>
      <c r="AF14" s="36"/>
      <c r="AG14" s="36"/>
      <c r="AH14" s="36"/>
      <c r="AI14" s="36"/>
      <c r="AJ14" s="36"/>
    </row>
    <row r="15" spans="1:36">
      <c r="A15" s="117"/>
      <c r="B15" s="119"/>
      <c r="C15" s="19" t="s">
        <v>27</v>
      </c>
      <c r="D15" s="41">
        <v>139</v>
      </c>
      <c r="E15" s="50">
        <f>(résultats!E19-résultats!E161)/résultats!E162</f>
        <v>0.36048234820859976</v>
      </c>
      <c r="F15" s="50">
        <f>(résultats!F19-résultats!F161)/résultats!F162</f>
        <v>-9.5348006651938474E-2</v>
      </c>
      <c r="G15" s="50">
        <f>(résultats!G19-résultats!G161)/résultats!G162</f>
        <v>-0.84650846168089</v>
      </c>
      <c r="H15" s="50">
        <f>(résultats!H19-résultats!H161)/résultats!H162</f>
        <v>-0.74665215301194077</v>
      </c>
      <c r="I15" s="50">
        <f>(résultats!I19-résultats!I161)/résultats!I162</f>
        <v>-0.76934145389224284</v>
      </c>
      <c r="J15" s="50">
        <f>(résultats!J19-résultats!J161)/résultats!J162</f>
        <v>-0.67994086339318138</v>
      </c>
      <c r="K15" s="50">
        <f>(résultats!K19-résultats!K161)/résultats!K162</f>
        <v>0.14916785808344965</v>
      </c>
      <c r="L15" s="50">
        <f>(résultats!L19-résultats!L161)/résultats!L162</f>
        <v>0.26621828024963157</v>
      </c>
      <c r="M15" s="50">
        <f>(résultats!O19-résultats!O161)/résultats!O162</f>
        <v>-1.0098526397320657</v>
      </c>
      <c r="N15" s="50">
        <f>(résultats!P19-résultats!P161)/résultats!P162</f>
        <v>-0.85830985805403404</v>
      </c>
      <c r="O15" s="50">
        <f>(résultats!Q19-résultats!Q161)/résultats!Q162</f>
        <v>-0.77005947178195877</v>
      </c>
      <c r="P15" s="50">
        <f>(résultats!R19-résultats!R161)/résultats!R162</f>
        <v>-0.67067046970386457</v>
      </c>
      <c r="Q15" s="50">
        <f>(résultats!S19-résultats!S161)/résultats!S162</f>
        <v>1.2649041044058698</v>
      </c>
      <c r="R15" s="50">
        <f>(résultats!T19-résultats!T161)/résultats!T162</f>
        <v>1.1352377525648689</v>
      </c>
      <c r="S15" s="50">
        <f>(résultats!U19-résultats!U161)/résultats!U162</f>
        <v>0.28149078170771646</v>
      </c>
      <c r="T15" s="50">
        <f>(résultats!V19-résultats!V161)/résultats!V162</f>
        <v>-0.45969880392472079</v>
      </c>
      <c r="U15" s="50">
        <f>(résultats!W19-résultats!W161)/résultats!W162</f>
        <v>-9.7939162381412995E-2</v>
      </c>
      <c r="V15" s="50">
        <f>(résultats!X19-résultats!X161)/résultats!X162</f>
        <v>-0.33810580131204776</v>
      </c>
      <c r="W15" s="50">
        <f>(résultats!Y19-résultats!Y161)/résultats!Y162</f>
        <v>-0.28747163570392181</v>
      </c>
      <c r="X15" s="50" t="s">
        <v>12</v>
      </c>
      <c r="Y15" s="50" t="s">
        <v>12</v>
      </c>
      <c r="Z15" s="50">
        <f>(résultats!AB19-résultats!AB161)/résultats!AB162</f>
        <v>-1.5564281398554425</v>
      </c>
      <c r="AA15" s="50">
        <f>(résultats!AC19-résultats!AC161)/résultats!AC162</f>
        <v>-0.16524352116869806</v>
      </c>
      <c r="AB15" s="50">
        <f>(résultats!AD19-résultats!AD161)/résultats!AD162</f>
        <v>-0.54826694648866425</v>
      </c>
      <c r="AC15" s="38"/>
      <c r="AD15" s="38"/>
      <c r="AE15" s="38"/>
      <c r="AF15" s="38"/>
      <c r="AG15" s="38"/>
      <c r="AH15" s="38"/>
      <c r="AI15" s="38"/>
      <c r="AJ15" s="38"/>
    </row>
    <row r="16" spans="1:36">
      <c r="A16" s="117"/>
      <c r="B16" s="120"/>
      <c r="C16" s="21" t="s">
        <v>28</v>
      </c>
      <c r="D16" s="41">
        <v>139</v>
      </c>
      <c r="E16" s="92">
        <f>(résultats!E20-résultats!E161)/résultats!E162</f>
        <v>0.56361930117197612</v>
      </c>
      <c r="F16" s="92">
        <f>(résultats!F20-résultats!F161)/résultats!F162</f>
        <v>0.17354337063191527</v>
      </c>
      <c r="G16" s="92">
        <f>(résultats!G20-résultats!G161)/résultats!G162</f>
        <v>-0.70613249856993576</v>
      </c>
      <c r="H16" s="92">
        <f>(résultats!H20-résultats!H161)/résultats!H162</f>
        <v>-0.60200611829576056</v>
      </c>
      <c r="I16" s="92">
        <f>(résultats!I20-résultats!I161)/résultats!I162</f>
        <v>-0.59715691692703277</v>
      </c>
      <c r="J16" s="92">
        <f>(résultats!J20-résultats!J161)/résultats!J162</f>
        <v>-0.48411196727039113</v>
      </c>
      <c r="K16" s="92">
        <f>(résultats!K20-résultats!K161)/résultats!K162</f>
        <v>5.8634449002100561E-2</v>
      </c>
      <c r="L16" s="92">
        <f>(résultats!L20-résultats!L161)/résultats!L162</f>
        <v>0.18433073963752178</v>
      </c>
      <c r="M16" s="92">
        <f>(résultats!O20-résultats!O161)/résultats!O162</f>
        <v>-0.91663443414204759</v>
      </c>
      <c r="N16" s="92">
        <f>(résultats!P20-résultats!P161)/résultats!P162</f>
        <v>-0.7794603655085951</v>
      </c>
      <c r="O16" s="92">
        <f>(résultats!Q20-résultats!Q161)/résultats!Q162</f>
        <v>-0.59752495035054332</v>
      </c>
      <c r="P16" s="92">
        <f>(résultats!R20-résultats!R161)/résultats!R162</f>
        <v>-0.48295386492536707</v>
      </c>
      <c r="Q16" s="92">
        <f>(résultats!S20-résultats!S161)/résultats!S162</f>
        <v>1.1790904631338808</v>
      </c>
      <c r="R16" s="92">
        <f>(résultats!T20-résultats!T161)/résultats!T162</f>
        <v>1.1171015275767029</v>
      </c>
      <c r="S16" s="92">
        <f>(résultats!U20-résultats!U161)/résultats!U162</f>
        <v>0.39502539699649702</v>
      </c>
      <c r="T16" s="92">
        <f>(résultats!V20-résultats!V161)/résultats!V162</f>
        <v>2.3476036992024277E-2</v>
      </c>
      <c r="U16" s="92">
        <f>(résultats!W20-résultats!W161)/résultats!W162</f>
        <v>-9.4606720709574918E-2</v>
      </c>
      <c r="V16" s="92">
        <f>(résultats!X20-résultats!X161)/résultats!X162</f>
        <v>-0.31495311203148307</v>
      </c>
      <c r="W16" s="92">
        <f>(résultats!Y20-résultats!Y161)/résultats!Y162</f>
        <v>-0.26604423018349665</v>
      </c>
      <c r="X16" s="92" t="s">
        <v>12</v>
      </c>
      <c r="Y16" s="92" t="s">
        <v>12</v>
      </c>
      <c r="Z16" s="92" t="s">
        <v>12</v>
      </c>
      <c r="AA16" s="92" t="s">
        <v>12</v>
      </c>
      <c r="AB16" s="92" t="s">
        <v>12</v>
      </c>
      <c r="AC16" s="37"/>
      <c r="AD16" s="37"/>
      <c r="AE16" s="37"/>
      <c r="AF16" s="37"/>
      <c r="AG16" s="37"/>
      <c r="AH16" s="37"/>
      <c r="AI16" s="37"/>
      <c r="AJ16" s="37"/>
    </row>
    <row r="17" spans="1:36">
      <c r="A17" s="117"/>
      <c r="B17" s="118">
        <v>2</v>
      </c>
      <c r="C17" s="2" t="s">
        <v>16</v>
      </c>
      <c r="D17" s="41">
        <v>11389</v>
      </c>
      <c r="E17" s="85">
        <f>(résultats!E21-résultats!E161)/résultats!E162</f>
        <v>-4.7037796693389013E-2</v>
      </c>
      <c r="F17" s="85">
        <f>(résultats!F21-résultats!F161)/résultats!F162</f>
        <v>-0.30393793261261476</v>
      </c>
      <c r="G17" s="85">
        <f>(résultats!G21-résultats!G161)/résultats!G162</f>
        <v>-0.56616819517484895</v>
      </c>
      <c r="H17" s="85">
        <f>(résultats!H21-résultats!H161)/résultats!H162</f>
        <v>-0.56340636924044551</v>
      </c>
      <c r="I17" s="85">
        <f>(résultats!I21-résultats!I161)/résultats!I162</f>
        <v>-0.5826488795210808</v>
      </c>
      <c r="J17" s="85">
        <f>(résultats!J21-résultats!J161)/résultats!J162</f>
        <v>-0.60145631361896945</v>
      </c>
      <c r="K17" s="85">
        <f>(résultats!K21-résultats!K161)/résultats!K162</f>
        <v>0.19393712631049051</v>
      </c>
      <c r="L17" s="85">
        <f>(résultats!L21-résultats!L161)/résultats!L162</f>
        <v>0.28688892156919332</v>
      </c>
      <c r="M17" s="85">
        <f>(résultats!O21-résultats!O161)/résultats!O162</f>
        <v>-0.57402967455323683</v>
      </c>
      <c r="N17" s="85">
        <f>(résultats!P21-résultats!P161)/résultats!P162</f>
        <v>-0.59543519960058255</v>
      </c>
      <c r="O17" s="85">
        <f>(résultats!Q21-résultats!Q161)/résultats!Q162</f>
        <v>-0.58808165716208882</v>
      </c>
      <c r="P17" s="85">
        <f>(résultats!R21-résultats!R161)/résultats!R162</f>
        <v>-0.59546516063812149</v>
      </c>
      <c r="Q17" s="85">
        <f>(résultats!S21-résultats!S161)/résultats!S162</f>
        <v>0.47033335188744169</v>
      </c>
      <c r="R17" s="85">
        <f>(résultats!T21-résultats!T161)/résultats!T162</f>
        <v>0.37351630306201428</v>
      </c>
      <c r="S17" s="85">
        <f>(résultats!U21-résultats!U161)/résultats!U162</f>
        <v>-0.22130537171402398</v>
      </c>
      <c r="T17" s="85">
        <f>(résultats!V21-résultats!V161)/résultats!V162</f>
        <v>-0.69738965308537737</v>
      </c>
      <c r="U17" s="85">
        <f>(résultats!W21-résultats!W161)/résultats!W162</f>
        <v>-0.13364389457967438</v>
      </c>
      <c r="V17" s="85">
        <f>(résultats!X21-résultats!X161)/résultats!X162</f>
        <v>-0.14130794242724815</v>
      </c>
      <c r="W17" s="85">
        <f>(résultats!Y21-résultats!Y161)/résultats!Y162</f>
        <v>-6.9503200237527346E-2</v>
      </c>
      <c r="X17" s="85">
        <f>(résultats!Z21-résultats!Z161)/résultats!Z162</f>
        <v>-0.30249553164201692</v>
      </c>
      <c r="Y17" s="85">
        <f>(résultats!AA21-résultats!AA161)/résultats!AA162</f>
        <v>-1.185508338692687</v>
      </c>
      <c r="Z17" s="85" t="s">
        <v>12</v>
      </c>
      <c r="AA17" s="85" t="s">
        <v>12</v>
      </c>
      <c r="AB17" s="85" t="s">
        <v>12</v>
      </c>
      <c r="AC17" s="25"/>
      <c r="AD17" s="25">
        <f t="shared" ref="AD4:AD67" si="0" xml:space="preserve"> 0.865*N17+0.814*P17-0.789*R17</f>
        <v>-1.2944644515298642</v>
      </c>
      <c r="AE17" s="25"/>
      <c r="AF17" s="25"/>
      <c r="AG17" s="25"/>
      <c r="AH17" s="25"/>
      <c r="AI17" s="25"/>
      <c r="AJ17" s="25"/>
    </row>
    <row r="18" spans="1:36">
      <c r="A18" s="117"/>
      <c r="B18" s="119"/>
      <c r="C18" s="1" t="s">
        <v>15</v>
      </c>
      <c r="D18" s="41">
        <v>11389</v>
      </c>
      <c r="E18" s="43">
        <f>(résultats!E22-résultats!E161)/résultats!E162</f>
        <v>8.9425371094891654E-2</v>
      </c>
      <c r="F18" s="43">
        <f>(résultats!F22-résultats!F161)/résultats!F162</f>
        <v>-0.14047928154161199</v>
      </c>
      <c r="G18" s="43">
        <f>(résultats!G22-résultats!G161)/résultats!G162</f>
        <v>-0.54033654800413822</v>
      </c>
      <c r="H18" s="43">
        <f>(résultats!H22-résultats!H161)/résultats!H162</f>
        <v>-0.49589114980739413</v>
      </c>
      <c r="I18" s="43">
        <f>(résultats!I22-résultats!I161)/résultats!I162</f>
        <v>-0.53383889320958455</v>
      </c>
      <c r="J18" s="43">
        <f>(résultats!J22-résultats!J161)/résultats!J162</f>
        <v>-0.48916068099855653</v>
      </c>
      <c r="K18" s="43">
        <f>(résultats!K22-résultats!K161)/résultats!K162</f>
        <v>0.27352693649189636</v>
      </c>
      <c r="L18" s="43">
        <f>(résultats!L22-résultats!L161)/résultats!L162</f>
        <v>0.24594515126313846</v>
      </c>
      <c r="M18" s="43">
        <f>(résultats!O22-résultats!O161)/résultats!O162</f>
        <v>-0.54116190086910676</v>
      </c>
      <c r="N18" s="43">
        <f>(résultats!P22-résultats!P161)/résultats!P162</f>
        <v>-0.52690969953245159</v>
      </c>
      <c r="O18" s="43">
        <f>(résultats!Q22-résultats!Q161)/résultats!Q162</f>
        <v>-0.54430921579442726</v>
      </c>
      <c r="P18" s="43">
        <f>(résultats!R22-résultats!R161)/résultats!R162</f>
        <v>-0.4828796979539019</v>
      </c>
      <c r="Q18" s="43">
        <f>(résultats!S22-résultats!S161)/résultats!S162</f>
        <v>0.39087627663559887</v>
      </c>
      <c r="R18" s="43">
        <f>(résultats!T22-résultats!T161)/résultats!T162</f>
        <v>1.1715102025411943</v>
      </c>
      <c r="S18" s="43">
        <f>(résultats!U22-résultats!U161)/résultats!U162</f>
        <v>-0.46459383304712398</v>
      </c>
      <c r="T18" s="43">
        <f>(résultats!V22-résultats!V161)/résultats!V162</f>
        <v>-0.47528508911558315</v>
      </c>
      <c r="U18" s="43">
        <f>(résultats!W22-résultats!W161)/résultats!W162</f>
        <v>-0.15078216603483982</v>
      </c>
      <c r="V18" s="43">
        <f>(résultats!X22-résultats!X161)/résultats!X162</f>
        <v>-0.15288428706753046</v>
      </c>
      <c r="W18" s="43">
        <f>(résultats!Y22-résultats!Y161)/résultats!Y162</f>
        <v>-9.0930605757952532E-2</v>
      </c>
      <c r="X18" s="43">
        <f>(résultats!Z22-résultats!Z161)/résultats!Z162</f>
        <v>-0.27651373803861778</v>
      </c>
      <c r="Y18" s="43">
        <f>(résultats!AA22-résultats!AA161)/résultats!AA162</f>
        <v>-1.0470110622804856</v>
      </c>
      <c r="Z18" s="43" t="s">
        <v>12</v>
      </c>
      <c r="AA18" s="43" t="s">
        <v>12</v>
      </c>
      <c r="AB18" s="43" t="s">
        <v>12</v>
      </c>
      <c r="AC18" s="26"/>
      <c r="AD18" s="26">
        <f t="shared" si="0"/>
        <v>-1.7731625140350491</v>
      </c>
      <c r="AE18" s="26"/>
      <c r="AF18" s="26"/>
      <c r="AG18" s="26"/>
      <c r="AH18" s="26"/>
      <c r="AI18" s="26"/>
      <c r="AJ18" s="26"/>
    </row>
    <row r="19" spans="1:36">
      <c r="A19" s="117"/>
      <c r="B19" s="119"/>
      <c r="C19" s="5" t="s">
        <v>14</v>
      </c>
      <c r="D19" s="41">
        <v>11389</v>
      </c>
      <c r="E19" s="44">
        <f>(résultats!E23-résultats!E161)/résultats!E162</f>
        <v>9.9776364236319245E-3</v>
      </c>
      <c r="F19" s="44">
        <f>(résultats!F23-résultats!F161)/résultats!F162</f>
        <v>-0.37466888023382516</v>
      </c>
      <c r="G19" s="44">
        <f>(résultats!G23-résultats!G161)/résultats!G162</f>
        <v>-0.95096711458237038</v>
      </c>
      <c r="H19" s="44">
        <f>(résultats!H23-résultats!H161)/résultats!H162</f>
        <v>-0.93079081354094417</v>
      </c>
      <c r="I19" s="44">
        <f>(résultats!I23-résultats!I161)/résultats!I162</f>
        <v>-0.92949219238894987</v>
      </c>
      <c r="J19" s="44">
        <f>(résultats!J23-résultats!J161)/résultats!J162</f>
        <v>-0.93513039365319239</v>
      </c>
      <c r="K19" s="44">
        <f>(résultats!K23-résultats!K161)/résultats!K162</f>
        <v>0.39622789385489715</v>
      </c>
      <c r="L19" s="44">
        <f>(résultats!L23-résultats!L161)/résultats!L162</f>
        <v>0.59456346736420718</v>
      </c>
      <c r="M19" s="44">
        <f>(résultats!O23-résultats!O161)/résultats!O162</f>
        <v>-0.97159975058556436</v>
      </c>
      <c r="N19" s="44">
        <f>(résultats!P23-résultats!P161)/résultats!P162</f>
        <v>-0.87818354357285155</v>
      </c>
      <c r="O19" s="44">
        <f>(résultats!Q23-résultats!Q161)/résultats!Q162</f>
        <v>-0.936816919733378</v>
      </c>
      <c r="P19" s="44">
        <f>(résultats!R23-résultats!R161)/résultats!R162</f>
        <v>-0.93136737440414774</v>
      </c>
      <c r="Q19" s="44">
        <f>(résultats!S23-résultats!S161)/résultats!S162</f>
        <v>1.0074631805898984</v>
      </c>
      <c r="R19" s="44">
        <f>(résultats!T23-résultats!T161)/résultats!T162</f>
        <v>0.81331975902496967</v>
      </c>
      <c r="S19" s="44">
        <f>(résultats!U23-résultats!U161)/résultats!U162</f>
        <v>-0.23752460246956364</v>
      </c>
      <c r="T19" s="44">
        <f>(résultats!V23-résultats!V161)/résultats!V162</f>
        <v>-0.6233547984287795</v>
      </c>
      <c r="U19" s="44">
        <f>(résultats!W23-résultats!W161)/résultats!W162</f>
        <v>-0.1384045255394423</v>
      </c>
      <c r="V19" s="44">
        <f>(résultats!X23-résultats!X161)/résultats!X162</f>
        <v>-0.31495311203148307</v>
      </c>
      <c r="W19" s="44">
        <f>(résultats!Y23-résultats!Y161)/résultats!Y162</f>
        <v>-0.26161097386892623</v>
      </c>
      <c r="X19" s="44">
        <f>(résultats!Z23-résultats!Z161)/résultats!Z162</f>
        <v>-0.29923031521071003</v>
      </c>
      <c r="Y19" s="44">
        <f>(résultats!AA23-résultats!AA161)/résultats!AA162</f>
        <v>-1.3904843077827451</v>
      </c>
      <c r="Z19" s="44" t="s">
        <v>12</v>
      </c>
      <c r="AA19" s="44" t="s">
        <v>12</v>
      </c>
      <c r="AB19" s="44" t="s">
        <v>12</v>
      </c>
      <c r="AC19" s="27"/>
      <c r="AD19" s="27">
        <f t="shared" si="0"/>
        <v>-2.1594710978261942</v>
      </c>
      <c r="AE19" s="27"/>
      <c r="AF19" s="27"/>
      <c r="AG19" s="27"/>
      <c r="AH19" s="27"/>
      <c r="AI19" s="27"/>
      <c r="AJ19" s="27"/>
    </row>
    <row r="20" spans="1:36">
      <c r="A20" s="117"/>
      <c r="B20" s="119"/>
      <c r="C20" s="12" t="s">
        <v>11</v>
      </c>
      <c r="D20" s="41">
        <v>11389</v>
      </c>
      <c r="E20" s="45">
        <f>(résultats!E24-résultats!E161)/résultats!E162</f>
        <v>-7.0716337222862108E-2</v>
      </c>
      <c r="F20" s="45">
        <f>(résultats!F24-résultats!F161)/résultats!F162</f>
        <v>-0.19319564464803693</v>
      </c>
      <c r="G20" s="45">
        <f>(résultats!G24-résultats!G161)/résultats!G162</f>
        <v>-0.93285408708418283</v>
      </c>
      <c r="H20" s="45">
        <f>(résultats!H24-résultats!H161)/résultats!H162</f>
        <v>-0.77227084766965004</v>
      </c>
      <c r="I20" s="45">
        <f>(résultats!I24-résultats!I161)/résultats!I162</f>
        <v>-0.93455313567009635</v>
      </c>
      <c r="J20" s="45">
        <f>(résultats!J24-résultats!J161)/résultats!J162</f>
        <v>-0.78466342542134493</v>
      </c>
      <c r="K20" s="45">
        <f>(résultats!K24-résultats!K161)/résultats!K162</f>
        <v>2.4145531256824469E-2</v>
      </c>
      <c r="L20" s="45">
        <f>(résultats!L24-résultats!L161)/résultats!L162</f>
        <v>-0.41253402846482135</v>
      </c>
      <c r="M20" s="45">
        <f>(résultats!O24-résultats!O161)/résultats!O162</f>
        <v>-1.0720600080042888</v>
      </c>
      <c r="N20" s="45">
        <f>(résultats!P24-résultats!P161)/résultats!P162</f>
        <v>-0.56717327019395236</v>
      </c>
      <c r="O20" s="45">
        <f>(résultats!Q24-résultats!Q161)/résultats!Q162</f>
        <v>-0.9241517971041564</v>
      </c>
      <c r="P20" s="45">
        <f>(résultats!R24-résultats!R161)/résultats!R162</f>
        <v>-0.74016492196678507</v>
      </c>
      <c r="Q20" s="45">
        <f>(résultats!S24-résultats!S161)/résultats!S162</f>
        <v>1.3189349155771233</v>
      </c>
      <c r="R20" s="45">
        <f>(résultats!T24-résultats!T161)/résultats!T162</f>
        <v>2.1599344643960818</v>
      </c>
      <c r="S20" s="45">
        <f>(résultats!U24-résultats!U161)/résultats!U162</f>
        <v>0.80861578126276712</v>
      </c>
      <c r="T20" s="45">
        <f>(résultats!V24-résultats!V161)/résultats!V162</f>
        <v>1.8704508321092592</v>
      </c>
      <c r="U20" s="45">
        <f>(résultats!W24-résultats!W161)/résultats!W162</f>
        <v>-6.3186556375105049E-2</v>
      </c>
      <c r="V20" s="45">
        <f>(résultats!X24-résultats!X161)/résultats!X162</f>
        <v>-0.2802240781106361</v>
      </c>
      <c r="W20" s="45">
        <f>(résultats!Y24-résultats!Y161)/résultats!Y162</f>
        <v>-0.22466717124750341</v>
      </c>
      <c r="X20" s="45">
        <f>(résultats!Z24-résultats!Z161)/résultats!Z162</f>
        <v>-0.31439024864177778</v>
      </c>
      <c r="Y20" s="45">
        <f>(résultats!AA24-résultats!AA161)/résultats!AA162</f>
        <v>-1.2856880352975126</v>
      </c>
      <c r="Z20" s="45">
        <f>(résultats!AB24-résultats!AB161)/résultats!AB162</f>
        <v>-0.56371901030888238</v>
      </c>
      <c r="AA20" s="45">
        <f>(résultats!AC24-résultats!AC161)/résultats!AC162</f>
        <v>-0.16278748729450199</v>
      </c>
      <c r="AB20" s="45">
        <f>(résultats!AD24-résultats!AD161)/résultats!AD162</f>
        <v>1.0324535756461009</v>
      </c>
      <c r="AC20" s="28"/>
      <c r="AD20" s="28">
        <f t="shared" si="0"/>
        <v>-2.7972874176072402</v>
      </c>
      <c r="AE20" s="28"/>
      <c r="AF20" s="28"/>
      <c r="AG20" s="28"/>
      <c r="AH20" s="28"/>
      <c r="AI20" s="28"/>
      <c r="AJ20" s="28"/>
    </row>
    <row r="21" spans="1:36">
      <c r="A21" s="117"/>
      <c r="B21" s="119"/>
      <c r="C21" s="3" t="s">
        <v>8</v>
      </c>
      <c r="D21" s="41">
        <v>11389</v>
      </c>
      <c r="E21" s="88">
        <f>(résultats!E25-résultats!E161)/résultats!E162</f>
        <v>-0.1676114175474181</v>
      </c>
      <c r="F21" s="88">
        <f>(résultats!F25-résultats!F161)/résultats!F162</f>
        <v>-0.26658137314511132</v>
      </c>
      <c r="G21" s="88">
        <f>(résultats!G25-résultats!G161)/résultats!G162</f>
        <v>-0.57471013427910833</v>
      </c>
      <c r="H21" s="88">
        <f>(résultats!H25-résultats!H161)/résultats!H162</f>
        <v>-0.58717062755563965</v>
      </c>
      <c r="I21" s="88">
        <f>(résultats!I25-résultats!I161)/résultats!I162</f>
        <v>-0.6042422375206371</v>
      </c>
      <c r="J21" s="88">
        <f>(résultats!J25-résultats!J161)/résultats!J162</f>
        <v>-0.62907124779878409</v>
      </c>
      <c r="K21" s="88">
        <f>(résultats!K25-résultats!K161)/résultats!K162</f>
        <v>0.19161575684686616</v>
      </c>
      <c r="L21" s="88">
        <f>(résultats!L25-résultats!L161)/résultats!L162</f>
        <v>0.40654013382280985</v>
      </c>
      <c r="M21" s="88">
        <f>(résultats!O25-résultats!O161)/résultats!O162</f>
        <v>-0.56047403907899085</v>
      </c>
      <c r="N21" s="88">
        <f>(résultats!P25-résultats!P161)/résultats!P162</f>
        <v>-0.59891954706167416</v>
      </c>
      <c r="O21" s="88">
        <f>(résultats!Q25-résultats!Q161)/résultats!Q162</f>
        <v>-0.6097456827120733</v>
      </c>
      <c r="P21" s="88">
        <f>(résultats!R25-résultats!R161)/résultats!R162</f>
        <v>-0.62431611253809582</v>
      </c>
      <c r="Q21" s="88">
        <f>(résultats!S25-résultats!S161)/résultats!S162</f>
        <v>0.30824091837368073</v>
      </c>
      <c r="R21" s="88">
        <f>(résultats!T25-résultats!T161)/résultats!T162</f>
        <v>0.50500393422619982</v>
      </c>
      <c r="S21" s="88">
        <f>(résultats!U25-résultats!U161)/résultats!U162</f>
        <v>-0.11588037180301398</v>
      </c>
      <c r="T21" s="88">
        <f>(résultats!V25-résultats!V161)/résultats!V162</f>
        <v>-3.8869103771426737E-2</v>
      </c>
      <c r="U21" s="88">
        <f>(résultats!W25-résultats!W161)/résultats!W162</f>
        <v>-0.13221570529174387</v>
      </c>
      <c r="V21" s="88">
        <f>(résultats!X25-résultats!X161)/résultats!X162</f>
        <v>-0.11815525314668374</v>
      </c>
      <c r="W21" s="88">
        <f>(résultats!Y25-résultats!Y161)/résultats!Y162</f>
        <v>-4.5120290507388396E-2</v>
      </c>
      <c r="X21" s="88">
        <f>(résultats!Z25-résultats!Z161)/résultats!Z162</f>
        <v>-0.19413699207164656</v>
      </c>
      <c r="Y21" s="88" t="s">
        <v>12</v>
      </c>
      <c r="Z21" s="88" t="s">
        <v>12</v>
      </c>
      <c r="AA21" s="88" t="s">
        <v>12</v>
      </c>
      <c r="AB21" s="88" t="s">
        <v>12</v>
      </c>
      <c r="AC21" s="51" t="s">
        <v>12</v>
      </c>
      <c r="AD21" s="29">
        <f t="shared" si="0"/>
        <v>-1.4247068279188297</v>
      </c>
      <c r="AE21" s="51" t="s">
        <v>12</v>
      </c>
      <c r="AF21" s="51" t="s">
        <v>12</v>
      </c>
      <c r="AG21" s="51" t="s">
        <v>12</v>
      </c>
      <c r="AH21" s="51" t="s">
        <v>12</v>
      </c>
      <c r="AI21" s="29"/>
      <c r="AJ21" s="29"/>
    </row>
    <row r="22" spans="1:36">
      <c r="A22" s="117"/>
      <c r="B22" s="119"/>
      <c r="C22" s="9" t="s">
        <v>7</v>
      </c>
      <c r="D22" s="41">
        <v>11389</v>
      </c>
      <c r="E22" s="46">
        <f>(résultats!E26-résultats!E161)/résultats!E162</f>
        <v>0.11902354675673303</v>
      </c>
      <c r="F22" s="46">
        <f>(résultats!F26-résultats!F161)/résultats!F162</f>
        <v>-0.18257652114458428</v>
      </c>
      <c r="G22" s="46">
        <f>(résultats!G26-résultats!G161)/résultats!G162</f>
        <v>-0.40644422541810332</v>
      </c>
      <c r="H22" s="46">
        <f>(résultats!H26-résultats!H161)/résultats!H162</f>
        <v>-0.45104126344952822</v>
      </c>
      <c r="I22" s="46">
        <f>(résultats!I26-résultats!I161)/résultats!I162</f>
        <v>-0.40135464464980863</v>
      </c>
      <c r="J22" s="46">
        <f>(résultats!J26-résultats!J161)/résultats!J162</f>
        <v>-0.46996026969901744</v>
      </c>
      <c r="K22" s="46">
        <f>(résultats!K26-résultats!K161)/résultats!K162</f>
        <v>7.1567793156579032E-2</v>
      </c>
      <c r="L22" s="46">
        <f>(résultats!L26-résultats!L161)/résultats!L162</f>
        <v>0.23958495393404242</v>
      </c>
      <c r="M22" s="46">
        <f>(résultats!O26-résultats!O161)/résultats!O162</f>
        <v>-0.46187071802660123</v>
      </c>
      <c r="N22" s="46">
        <f>(résultats!P26-résultats!P161)/résultats!P162</f>
        <v>-0.44418870980802244</v>
      </c>
      <c r="O22" s="46">
        <f>(résultats!Q26-résultats!Q161)/résultats!Q162</f>
        <v>-0.40577054984145028</v>
      </c>
      <c r="P22" s="46">
        <f>(résultats!R26-résultats!R161)/résultats!R162</f>
        <v>-0.47294132377756087</v>
      </c>
      <c r="Q22" s="46">
        <f>(résultats!S26-résultats!S161)/résultats!S162</f>
        <v>0.416302540716188</v>
      </c>
      <c r="R22" s="46">
        <f>(résultats!T26-résultats!T161)/résultats!T162</f>
        <v>0.22389244690966925</v>
      </c>
      <c r="S22" s="46">
        <f>(résultats!U26-résultats!U161)/résultats!U162</f>
        <v>4.631193575238627E-2</v>
      </c>
      <c r="T22" s="46">
        <f>(résultats!V26-résultats!V161)/résultats!V162</f>
        <v>-0.24928395384807342</v>
      </c>
      <c r="U22" s="46">
        <f>(résultats!W26-résultats!W161)/résultats!W162</f>
        <v>-0.12459869575611426</v>
      </c>
      <c r="V22" s="46">
        <f>(résultats!X26-résultats!X161)/résultats!X162</f>
        <v>-0.10657890850640139</v>
      </c>
      <c r="W22" s="46">
        <f>(résultats!Y26-résultats!Y161)/résultats!Y162</f>
        <v>-3.8470406035532034E-2</v>
      </c>
      <c r="X22" s="46">
        <f>(résultats!Z26-résultats!Z161)/résultats!Z162</f>
        <v>-0.27492777577198302</v>
      </c>
      <c r="Y22" s="46">
        <f>(résultats!AA26-résultats!AA161)/résultats!AA162</f>
        <v>-0.7552434666387815</v>
      </c>
      <c r="Z22" s="46">
        <f>(résultats!AB26-résultats!AB161)/résultats!AB162</f>
        <v>-0.37309905276502936</v>
      </c>
      <c r="AA22" s="46">
        <f>(résultats!AC26-résultats!AC161)/résultats!AC162</f>
        <v>-0.16122455664728633</v>
      </c>
      <c r="AB22" s="46">
        <f>(résultats!AD26-résultats!AD161)/résultats!AD162</f>
        <v>-0.70262187989759883</v>
      </c>
      <c r="AC22" s="30"/>
      <c r="AD22" s="30">
        <f t="shared" si="0"/>
        <v>-0.94584861215060301</v>
      </c>
      <c r="AE22" s="30"/>
      <c r="AF22" s="30"/>
      <c r="AG22" s="30"/>
      <c r="AH22" s="30"/>
      <c r="AI22" s="30"/>
      <c r="AJ22" s="30"/>
    </row>
    <row r="23" spans="1:36">
      <c r="A23" s="117"/>
      <c r="B23" s="119"/>
      <c r="C23" s="7" t="s">
        <v>18</v>
      </c>
      <c r="D23" s="41">
        <v>11389</v>
      </c>
      <c r="E23" s="47">
        <f>(résultats!E27-résultats!E161)/résultats!E162</f>
        <v>0.10188776084724536</v>
      </c>
      <c r="F23" s="47">
        <f>(résultats!F27-résultats!F161)/résultats!F162</f>
        <v>-0.22694928721258328</v>
      </c>
      <c r="G23" s="47">
        <f>(résultats!G27-résultats!G161)/résultats!G162</f>
        <v>-0.55320091412501016</v>
      </c>
      <c r="H23" s="47">
        <f>(résultats!H27-résultats!H161)/résultats!H162</f>
        <v>-0.48613818830231481</v>
      </c>
      <c r="I23" s="47">
        <f>(résultats!I27-résultats!I161)/résultats!I162</f>
        <v>-0.54609762249058225</v>
      </c>
      <c r="J23" s="47">
        <f>(résultats!J27-résultats!J161)/résultats!J162</f>
        <v>-0.51968245035519456</v>
      </c>
      <c r="K23" s="47">
        <f>(résultats!K27-résultats!K161)/résultats!K162</f>
        <v>0.38661079179131064</v>
      </c>
      <c r="L23" s="47">
        <f>(résultats!L27-résultats!L161)/résultats!L162</f>
        <v>0.49061399226679631</v>
      </c>
      <c r="M23" s="47">
        <f>(résultats!O27-résultats!O161)/résultats!O162</f>
        <v>-0.51702172810675129</v>
      </c>
      <c r="N23" s="47">
        <f>(résultats!P27-résultats!P161)/résultats!P162</f>
        <v>-0.39192349789165165</v>
      </c>
      <c r="O23" s="47">
        <f>(résultats!Q27-résultats!Q161)/résultats!Q162</f>
        <v>-0.5598628751636473</v>
      </c>
      <c r="P23" s="47">
        <f>(résultats!R27-résultats!R161)/résultats!R162</f>
        <v>-0.53064322757751048</v>
      </c>
      <c r="Q23" s="47">
        <f>(résultats!S27-résultats!S161)/résultats!S162</f>
        <v>0.3654500125550097</v>
      </c>
      <c r="R23" s="47">
        <f>(résultats!T27-résultats!T161)/résultats!T162</f>
        <v>4.706425327507846E-2</v>
      </c>
      <c r="S23" s="47">
        <f>(résultats!U27-résultats!U161)/résultats!U162</f>
        <v>-0.71599190975799387</v>
      </c>
      <c r="T23" s="47">
        <f>(résultats!V27-résultats!V161)/résultats!V162</f>
        <v>-0.86883879018486732</v>
      </c>
      <c r="U23" s="47">
        <f>(résultats!W27-résultats!W161)/résultats!W162</f>
        <v>-0.17125287916184267</v>
      </c>
      <c r="V23" s="47">
        <f>(résultats!X27-résultats!X161)/résultats!X162</f>
        <v>-0.1644606317078128</v>
      </c>
      <c r="W23" s="47">
        <f>(résultats!Y27-résultats!Y161)/résultats!Y162</f>
        <v>-0.10127487049195097</v>
      </c>
      <c r="X23" s="47">
        <f>(résultats!Z27-résultats!Z161)/résultats!Z162</f>
        <v>-0.28675252384821581</v>
      </c>
      <c r="Y23" s="47">
        <f>(résultats!AA27-résultats!AA161)/résultats!AA162</f>
        <v>-0.93344329562248063</v>
      </c>
      <c r="Z23" s="47" t="s">
        <v>12</v>
      </c>
      <c r="AA23" s="47" t="s">
        <v>12</v>
      </c>
      <c r="AB23" s="47" t="s">
        <v>12</v>
      </c>
      <c r="AC23" s="31"/>
      <c r="AD23" s="31">
        <f t="shared" si="0"/>
        <v>-0.80809110875840906</v>
      </c>
      <c r="AE23" s="31"/>
      <c r="AF23" s="31"/>
      <c r="AG23" s="31"/>
      <c r="AH23" s="31"/>
      <c r="AI23" s="31"/>
      <c r="AJ23" s="31"/>
    </row>
    <row r="24" spans="1:36">
      <c r="A24" s="117"/>
      <c r="B24" s="119"/>
      <c r="C24" s="6" t="s">
        <v>19</v>
      </c>
      <c r="D24" s="41">
        <v>11389</v>
      </c>
      <c r="E24" s="89">
        <f>(résultats!E28-résultats!E161)/résultats!E162</f>
        <v>-5.2957431825757288E-2</v>
      </c>
      <c r="F24" s="89">
        <f>(résultats!F28-résultats!F161)/résultats!F162</f>
        <v>-0.37372074420673207</v>
      </c>
      <c r="G24" s="89">
        <f>(résultats!G28-résultats!G161)/résultats!G162</f>
        <v>-0.58057628523022586</v>
      </c>
      <c r="H24" s="89">
        <f>(résultats!H28-résultats!H161)/résultats!H162</f>
        <v>-0.623366477648435</v>
      </c>
      <c r="I24" s="89">
        <f>(résultats!I28-résultats!I161)/résultats!I162</f>
        <v>-0.59220843905213449</v>
      </c>
      <c r="J24" s="89">
        <f>(résultats!J28-résultats!J161)/résultats!J162</f>
        <v>-0.67144984485035719</v>
      </c>
      <c r="K24" s="89">
        <f>(résultats!K28-résultats!K161)/résultats!K162</f>
        <v>0.52987245011784123</v>
      </c>
      <c r="L24" s="89">
        <f>(résultats!L28-résultats!L161)/résultats!L162</f>
        <v>0.66710946814920735</v>
      </c>
      <c r="M24" s="89">
        <f>(résultats!O28-résultats!O161)/résultats!O162</f>
        <v>-0.46502750984937108</v>
      </c>
      <c r="N24" s="89">
        <f>(résultats!P28-résultats!P161)/résultats!P162</f>
        <v>-0.45657750078079201</v>
      </c>
      <c r="O24" s="89">
        <f>(résultats!Q28-résultats!Q161)/résultats!Q162</f>
        <v>-0.61030117054668842</v>
      </c>
      <c r="P24" s="89">
        <f>(résultats!R28-résultats!R161)/résultats!R162</f>
        <v>-0.67882883656503923</v>
      </c>
      <c r="Q24" s="89">
        <f>(résultats!S28-résultats!S161)/résultats!S162</f>
        <v>0.19382273001102729</v>
      </c>
      <c r="R24" s="89">
        <f>(résultats!T28-résultats!T161)/résultats!T162</f>
        <v>1.5325859545796072E-2</v>
      </c>
      <c r="S24" s="89">
        <f>(résultats!U28-résultats!U161)/résultats!U162</f>
        <v>-1.0079380633577144</v>
      </c>
      <c r="T24" s="89">
        <f>(résultats!V28-résultats!V161)/résultats!V162</f>
        <v>-0.67401022529908305</v>
      </c>
      <c r="U24" s="89">
        <f>(résultats!W28-résultats!W161)/résultats!W162</f>
        <v>-0.19648422324861411</v>
      </c>
      <c r="V24" s="89">
        <f>(résultats!X28-résultats!X161)/résultats!X162</f>
        <v>-0.14130794242724815</v>
      </c>
      <c r="W24" s="89">
        <f>(résultats!Y28-résultats!Y161)/résultats!Y162</f>
        <v>-7.9847464971525783E-2</v>
      </c>
      <c r="X24" s="89">
        <f>(résultats!Z28-résultats!Z161)/résultats!Z162</f>
        <v>-0.26419920749768888</v>
      </c>
      <c r="Y24" s="89">
        <f>(résultats!AA28-résultats!AA161)/résultats!AA162</f>
        <v>-0.62782597233955628</v>
      </c>
      <c r="Z24" s="89" t="s">
        <v>12</v>
      </c>
      <c r="AA24" s="89" t="s">
        <v>12</v>
      </c>
      <c r="AB24" s="89" t="s">
        <v>12</v>
      </c>
      <c r="AC24" s="32"/>
      <c r="AD24" s="32">
        <f t="shared" si="0"/>
        <v>-0.9595983143209601</v>
      </c>
      <c r="AE24" s="32"/>
      <c r="AF24" s="32"/>
      <c r="AG24" s="32"/>
      <c r="AH24" s="32"/>
      <c r="AI24" s="32"/>
      <c r="AJ24" s="32"/>
    </row>
    <row r="25" spans="1:36">
      <c r="A25" s="117"/>
      <c r="B25" s="119"/>
      <c r="C25" s="4" t="s">
        <v>23</v>
      </c>
      <c r="D25" s="41">
        <v>11389</v>
      </c>
      <c r="E25" s="48">
        <f>(résultats!E29-résultats!E161)/résultats!E162</f>
        <v>0.35830143000193798</v>
      </c>
      <c r="F25" s="48">
        <f>(résultats!F29-résultats!F161)/résultats!F162</f>
        <v>0.1341009119048048</v>
      </c>
      <c r="G25" s="48">
        <f>(résultats!G29-résultats!G161)/résultats!G162</f>
        <v>-0.50071430035185305</v>
      </c>
      <c r="H25" s="48">
        <f>(résultats!H29-résultats!H161)/résultats!H162</f>
        <v>-0.48558872568231004</v>
      </c>
      <c r="I25" s="48">
        <f>(résultats!I29-résultats!I161)/résultats!I162</f>
        <v>-0.44105493305524213</v>
      </c>
      <c r="J25" s="48">
        <f>(résultats!J29-résultats!J161)/résultats!J162</f>
        <v>-0.3968304163031634</v>
      </c>
      <c r="K25" s="48">
        <f>(résultats!K29-résultats!K161)/résultats!K162</f>
        <v>0.33620391200975347</v>
      </c>
      <c r="L25" s="48">
        <f>(résultats!L29-résultats!L161)/résultats!L162</f>
        <v>0.50631572942300163</v>
      </c>
      <c r="M25" s="48">
        <f>(résultats!O29-résultats!O161)/résultats!O162</f>
        <v>-0.52519224811862586</v>
      </c>
      <c r="N25" s="48">
        <f>(résultats!P29-résultats!P161)/résultats!P162</f>
        <v>-0.3966983444124062</v>
      </c>
      <c r="O25" s="48">
        <f>(résultats!Q29-résultats!Q161)/résultats!Q162</f>
        <v>-0.45387579631910741</v>
      </c>
      <c r="P25" s="48">
        <f>(résultats!R29-résultats!R161)/résultats!R162</f>
        <v>-0.41553608786347279</v>
      </c>
      <c r="Q25" s="48">
        <f>(résultats!S29-résultats!S161)/résultats!S162</f>
        <v>0.54025557810906299</v>
      </c>
      <c r="R25" s="48">
        <f>(résultats!T29-résultats!T161)/résultats!T162</f>
        <v>0.31003951560344306</v>
      </c>
      <c r="S25" s="48">
        <f>(résultats!U29-résultats!U161)/résultats!U162</f>
        <v>-0.3997169100249639</v>
      </c>
      <c r="T25" s="48">
        <f>(résultats!V29-résultats!V161)/résultats!V162</f>
        <v>-0.35059480758868111</v>
      </c>
      <c r="U25" s="48">
        <f>(résultats!W29-résultats!W161)/résultats!W162</f>
        <v>-0.1660161851060977</v>
      </c>
      <c r="V25" s="48">
        <f>(résultats!X29-résultats!X161)/résultats!X162</f>
        <v>-0.19918966562865978</v>
      </c>
      <c r="W25" s="48">
        <f>(résultats!Y29-résultats!Y161)/résultats!Y162</f>
        <v>-0.13526316890366005</v>
      </c>
      <c r="X25" s="48">
        <f>(résultats!Z29-résultats!Z161)/résultats!Z162</f>
        <v>-0.28528317645412771</v>
      </c>
      <c r="Y25" s="48">
        <f>(résultats!AA29-résultats!AA161)/résultats!AA162</f>
        <v>-0.79633099197440116</v>
      </c>
      <c r="Z25" s="48" t="s">
        <v>12</v>
      </c>
      <c r="AA25" s="48" t="s">
        <v>12</v>
      </c>
      <c r="AB25" s="48" t="s">
        <v>12</v>
      </c>
      <c r="AC25" s="33"/>
      <c r="AD25" s="33">
        <f t="shared" si="0"/>
        <v>-0.92601162124871472</v>
      </c>
      <c r="AE25" s="33"/>
      <c r="AF25" s="33"/>
      <c r="AG25" s="33"/>
      <c r="AH25" s="33"/>
      <c r="AI25" s="33"/>
      <c r="AJ25" s="33"/>
    </row>
    <row r="26" spans="1:36">
      <c r="A26" s="117"/>
      <c r="B26" s="119"/>
      <c r="C26" s="10" t="s">
        <v>24</v>
      </c>
      <c r="D26" s="41">
        <v>11389</v>
      </c>
      <c r="E26" s="90">
        <f>(résultats!E30-résultats!E161)/résultats!E162</f>
        <v>9.8149043921538892E-2</v>
      </c>
      <c r="F26" s="90">
        <f>(résultats!F30-résultats!F161)/résultats!F162</f>
        <v>-0.16778559912191865</v>
      </c>
      <c r="G26" s="90">
        <f>(résultats!G30-résultats!G161)/résultats!G162</f>
        <v>-0.39851977588764637</v>
      </c>
      <c r="H26" s="90">
        <f>(résultats!H30-résultats!H161)/résultats!H162</f>
        <v>-0.45275833413704225</v>
      </c>
      <c r="I26" s="90">
        <f>(résultats!I30-résultats!I161)/résultats!I162</f>
        <v>-0.39460672027494709</v>
      </c>
      <c r="J26" s="90">
        <f>(résultats!J30-résultats!J161)/résultats!J162</f>
        <v>-0.49665725592825727</v>
      </c>
      <c r="K26" s="90">
        <f>(résultats!K30-résultats!K161)/résultats!K162</f>
        <v>0.27286368807371808</v>
      </c>
      <c r="L26" s="90">
        <f>(résultats!L30-résultats!L161)/résultats!L162</f>
        <v>0.39978242416064536</v>
      </c>
      <c r="M26" s="90">
        <f>(résultats!O30-résultats!O161)/résultats!O162</f>
        <v>-0.37329485335242113</v>
      </c>
      <c r="N26" s="90">
        <f>(résultats!P30-résultats!P161)/résultats!P162</f>
        <v>-0.34753033023922753</v>
      </c>
      <c r="O26" s="90">
        <f>(résultats!Q30-résultats!Q161)/résultats!Q162</f>
        <v>-0.40721481821144923</v>
      </c>
      <c r="P26" s="90">
        <f>(résultats!R30-résultats!R161)/résultats!R162</f>
        <v>-0.50498145545054063</v>
      </c>
      <c r="Q26" s="90">
        <f>(résultats!S30-résultats!S161)/résultats!S162</f>
        <v>0.25103182419235626</v>
      </c>
      <c r="R26" s="90">
        <f>(résultats!T30-résultats!T161)/résultats!T162</f>
        <v>0.10600698448661301</v>
      </c>
      <c r="S26" s="90">
        <f>(résultats!U30-résultats!U161)/résultats!U162</f>
        <v>-0.40782652540273373</v>
      </c>
      <c r="T26" s="90">
        <f>(résultats!V30-résultats!V161)/résultats!V162</f>
        <v>-0.52594051598588742</v>
      </c>
      <c r="U26" s="90">
        <f>(résultats!W30-résultats!W161)/résultats!W162</f>
        <v>-0.16220768033828323</v>
      </c>
      <c r="V26" s="90">
        <f>(résultats!X30-résultats!X161)/résultats!X162</f>
        <v>-0.10657890850640139</v>
      </c>
      <c r="W26" s="90">
        <f>(résultats!Y30-résultats!Y161)/résultats!Y162</f>
        <v>-3.4037149720961127E-2</v>
      </c>
      <c r="X26" s="90">
        <f>(résultats!Z30-résultats!Z161)/résultats!Z162</f>
        <v>-0.28493333183648767</v>
      </c>
      <c r="Y26" s="90">
        <f>(résultats!AA30-résultats!AA161)/résultats!AA162</f>
        <v>-0.8549615056555665</v>
      </c>
      <c r="Z26" s="90" t="s">
        <v>12</v>
      </c>
      <c r="AA26" s="90" t="s">
        <v>12</v>
      </c>
      <c r="AB26" s="90" t="s">
        <v>12</v>
      </c>
      <c r="AC26" s="34"/>
      <c r="AD26" s="34">
        <f t="shared" si="0"/>
        <v>-0.79530815115360953</v>
      </c>
      <c r="AE26" s="34"/>
      <c r="AF26" s="34"/>
      <c r="AG26" s="34"/>
      <c r="AH26" s="34"/>
      <c r="AI26" s="34"/>
      <c r="AJ26" s="34"/>
    </row>
    <row r="27" spans="1:36">
      <c r="A27" s="117"/>
      <c r="B27" s="119"/>
      <c r="C27" s="11" t="s">
        <v>25</v>
      </c>
      <c r="D27" s="41">
        <v>11389</v>
      </c>
      <c r="E27" s="49">
        <f>(résultats!E31-résultats!E161)/résultats!E162</f>
        <v>-0.29285843455857935</v>
      </c>
      <c r="F27" s="49">
        <f>(résultats!F31-résultats!F161)/résultats!F162</f>
        <v>-0.65190385455610589</v>
      </c>
      <c r="G27" s="49">
        <f>(résultats!G31-résultats!G161)/résultats!G162</f>
        <v>-0.80791536331827429</v>
      </c>
      <c r="H27" s="49">
        <f>(résultats!H31-résultats!H161)/résultats!H162</f>
        <v>-0.8601161840428676</v>
      </c>
      <c r="I27" s="49">
        <f>(résultats!I31-résultats!I161)/résultats!I162</f>
        <v>-0.85245338910928403</v>
      </c>
      <c r="J27" s="49">
        <f>(résultats!J31-résultats!J161)/résultats!J162</f>
        <v>-0.93750175919217893</v>
      </c>
      <c r="K27" s="49">
        <f>(résultats!K31-résultats!K161)/résultats!K162</f>
        <v>0.51329123966338164</v>
      </c>
      <c r="L27" s="49">
        <f>(résultats!L31-résultats!L161)/résultats!L162</f>
        <v>0.69155647663291975</v>
      </c>
      <c r="M27" s="49">
        <f>(résultats!O31-résultats!O161)/résultats!O162</f>
        <v>-0.69491623200164643</v>
      </c>
      <c r="N27" s="49">
        <f>(résultats!P31-résultats!P161)/résultats!P162</f>
        <v>-0.73067950105331581</v>
      </c>
      <c r="O27" s="49">
        <f>(résultats!Q31-résultats!Q161)/résultats!Q162</f>
        <v>-0.86593667203650559</v>
      </c>
      <c r="P27" s="49">
        <f>(résultats!R31-résultats!R161)/résultats!R162</f>
        <v>-0.93574322572059654</v>
      </c>
      <c r="Q27" s="49">
        <f>(résultats!S31-résultats!S161)/résultats!S162</f>
        <v>0.40358940867589571</v>
      </c>
      <c r="R27" s="49">
        <f>(résultats!T31-résultats!T161)/résultats!T162</f>
        <v>0.33270979683865215</v>
      </c>
      <c r="S27" s="49">
        <f>(résultats!U31-résultats!U161)/résultats!U162</f>
        <v>-0.70788229438022399</v>
      </c>
      <c r="T27" s="49">
        <f>(résultats!V31-résultats!V161)/résultats!V162</f>
        <v>-0.81818336331456376</v>
      </c>
      <c r="U27" s="49">
        <f>(résultats!W31-résultats!W161)/résultats!W162</f>
        <v>-0.17506138392965714</v>
      </c>
      <c r="V27" s="49">
        <f>(résultats!X31-résultats!X161)/résultats!X162</f>
        <v>-0.18761332098837746</v>
      </c>
      <c r="W27" s="49">
        <f>(résultats!Y31-résultats!Y161)/résultats!Y162</f>
        <v>-0.1241800281172333</v>
      </c>
      <c r="X27" s="49">
        <f>(résultats!Z31-résultats!Z161)/résultats!Z162</f>
        <v>-0.23247996216499328</v>
      </c>
      <c r="Y27" s="49">
        <f>(résultats!AA31-résultats!AA161)/résultats!AA162</f>
        <v>-1.2819947745931874</v>
      </c>
      <c r="Z27" s="49" t="s">
        <v>12</v>
      </c>
      <c r="AA27" s="49" t="s">
        <v>12</v>
      </c>
      <c r="AB27" s="49" t="s">
        <v>12</v>
      </c>
      <c r="AC27" s="35"/>
      <c r="AD27" s="35">
        <f t="shared" si="0"/>
        <v>-1.6562407838533804</v>
      </c>
      <c r="AE27" s="35"/>
      <c r="AF27" s="35"/>
      <c r="AG27" s="35"/>
      <c r="AH27" s="35"/>
      <c r="AI27" s="35"/>
      <c r="AJ27" s="35"/>
    </row>
    <row r="28" spans="1:36">
      <c r="A28" s="117"/>
      <c r="B28" s="119"/>
      <c r="C28" s="8" t="s">
        <v>26</v>
      </c>
      <c r="D28" s="41">
        <v>11389</v>
      </c>
      <c r="E28" s="91">
        <f>(résultats!E32-résultats!E161)/résultats!E162</f>
        <v>0.37761813411808742</v>
      </c>
      <c r="F28" s="91">
        <f>(résultats!F32-résultats!F161)/résultats!F162</f>
        <v>0.17069896255063374</v>
      </c>
      <c r="G28" s="91">
        <f>(résultats!G32-résultats!G161)/résultats!G162</f>
        <v>-0.31063042654984918</v>
      </c>
      <c r="H28" s="91">
        <f>(résultats!H32-résultats!H161)/résultats!H162</f>
        <v>-0.32439012953849489</v>
      </c>
      <c r="I28" s="91">
        <f>(résultats!I32-résultats!I161)/résultats!I162</f>
        <v>-0.25762385546526256</v>
      </c>
      <c r="J28" s="91">
        <f>(résultats!J32-résultats!J161)/résultats!J162</f>
        <v>-0.27642624345266659</v>
      </c>
      <c r="K28" s="91">
        <f>(résultats!K32-résultats!K161)/résultats!K162</f>
        <v>0.17901403690147705</v>
      </c>
      <c r="L28" s="91">
        <f>(résultats!L32-résultats!L161)/résultats!L162</f>
        <v>0.38109934450642624</v>
      </c>
      <c r="M28" s="91">
        <f>(résultats!O32-résultats!O161)/résultats!O162</f>
        <v>-0.35973921787817514</v>
      </c>
      <c r="N28" s="91">
        <f>(résultats!P32-résultats!P161)/résultats!P162</f>
        <v>-0.37204981237283374</v>
      </c>
      <c r="O28" s="91">
        <f>(résultats!Q32-résultats!Q161)/résultats!Q162</f>
        <v>-0.26889834739231677</v>
      </c>
      <c r="P28" s="91">
        <f>(résultats!R32-résultats!R161)/résultats!R162</f>
        <v>-0.29078724185895644</v>
      </c>
      <c r="Q28" s="91">
        <f>(résultats!S32-résultats!S161)/résultats!S162</f>
        <v>0.32731061643412374</v>
      </c>
      <c r="R28" s="91">
        <f>(résultats!T32-résultats!T161)/résultats!T162</f>
        <v>0.15588160320406136</v>
      </c>
      <c r="S28" s="91">
        <f>(résultats!U32-résultats!U161)/résultats!U162</f>
        <v>-0.31051114086949355</v>
      </c>
      <c r="T28" s="91">
        <f>(résultats!V32-résultats!V161)/résultats!V162</f>
        <v>-0.26876681033665212</v>
      </c>
      <c r="U28" s="91">
        <f>(résultats!W32-résultats!W161)/résultats!W162</f>
        <v>-0.15221035532277033</v>
      </c>
      <c r="V28" s="91">
        <f>(résultats!X32-résultats!X161)/résultats!X162</f>
        <v>-0.1297315977869658</v>
      </c>
      <c r="W28" s="91">
        <f>(résultats!Y32-résultats!Y161)/résultats!Y162</f>
        <v>-5.8420059451100598E-2</v>
      </c>
      <c r="X28" s="91">
        <f>(résultats!Z32-résultats!Z161)/résultats!Z162</f>
        <v>-0.25445020415278685</v>
      </c>
      <c r="Y28" s="91">
        <f>(résultats!AA32-résultats!AA161)/résultats!AA162</f>
        <v>-0.79817762232656397</v>
      </c>
      <c r="Z28" s="91" t="s">
        <v>12</v>
      </c>
      <c r="AA28" s="91" t="s">
        <v>12</v>
      </c>
      <c r="AB28" s="91" t="s">
        <v>12</v>
      </c>
      <c r="AC28" s="36"/>
      <c r="AD28" s="36">
        <f t="shared" si="0"/>
        <v>-0.68151448750369614</v>
      </c>
      <c r="AE28" s="36"/>
      <c r="AF28" s="36"/>
      <c r="AG28" s="36"/>
      <c r="AH28" s="36"/>
      <c r="AI28" s="36"/>
      <c r="AJ28" s="36"/>
    </row>
    <row r="29" spans="1:36">
      <c r="A29" s="117"/>
      <c r="B29" s="119"/>
      <c r="C29" s="19" t="s">
        <v>27</v>
      </c>
      <c r="D29" s="41">
        <v>11389</v>
      </c>
      <c r="E29" s="50">
        <f>(résultats!E33-résultats!E161)/résultats!E162</f>
        <v>0.35425115333242291</v>
      </c>
      <c r="F29" s="50">
        <f>(résultats!F33-résultats!F161)/résultats!F162</f>
        <v>2.1651979091459345E-2</v>
      </c>
      <c r="G29" s="50">
        <f>(résultats!G33-résultats!G161)/résultats!G162</f>
        <v>-0.54013071814620439</v>
      </c>
      <c r="H29" s="50">
        <f>(résultats!H33-résultats!H161)/résultats!H162</f>
        <v>-0.53297987665769664</v>
      </c>
      <c r="I29" s="50">
        <f>(résultats!I33-résultats!I161)/résultats!I162</f>
        <v>-0.48457904527309736</v>
      </c>
      <c r="J29" s="50">
        <f>(résultats!J33-résultats!J161)/résultats!J162</f>
        <v>-0.50254742194445046</v>
      </c>
      <c r="K29" s="50">
        <f>(résultats!K33-résultats!K161)/résultats!K162</f>
        <v>0.14120887706530924</v>
      </c>
      <c r="L29" s="50">
        <f>(résultats!L33-résultats!L161)/résultats!L162</f>
        <v>0.27873991874128901</v>
      </c>
      <c r="M29" s="50">
        <f>(résultats!O33-résultats!O161)/résultats!O162</f>
        <v>-0.64422186920070057</v>
      </c>
      <c r="N29" s="50">
        <f>(résultats!P33-résultats!P161)/résultats!P162</f>
        <v>-0.59401565063495299</v>
      </c>
      <c r="O29" s="50">
        <f>(résultats!Q33-résultats!Q161)/résultats!Q162</f>
        <v>-0.49042689583677446</v>
      </c>
      <c r="P29" s="50">
        <f>(résultats!R33-résultats!R161)/résultats!R162</f>
        <v>-0.50008643533383568</v>
      </c>
      <c r="Q29" s="50">
        <f>(résultats!S33-résultats!S161)/résultats!S162</f>
        <v>0.72459599269333774</v>
      </c>
      <c r="R29" s="50">
        <f>(résultats!T33-résultats!T161)/résultats!T162</f>
        <v>0.58661694667293052</v>
      </c>
      <c r="S29" s="50">
        <f>(résultats!U33-résultats!U161)/résultats!U162</f>
        <v>-1.0455371892003277E-2</v>
      </c>
      <c r="T29" s="50">
        <f>(résultats!V33-résultats!V161)/résultats!V162</f>
        <v>-0.37397423537497543</v>
      </c>
      <c r="U29" s="50">
        <f>(résultats!W33-résultats!W161)/résultats!W162</f>
        <v>-0.12602688504404477</v>
      </c>
      <c r="V29" s="50">
        <f>(résultats!X33-résultats!X161)/résultats!X162</f>
        <v>-0.21076601026894212</v>
      </c>
      <c r="W29" s="50">
        <f>(résultats!Y33-résultats!Y161)/résultats!Y162</f>
        <v>-0.14782406179494395</v>
      </c>
      <c r="X29" s="50">
        <f>(résultats!Z33-résultats!Z161)/résultats!Z162</f>
        <v>-0.29916034628718202</v>
      </c>
      <c r="Y29" s="50">
        <f>(résultats!AA33-résultats!AA161)/résultats!AA162</f>
        <v>-1.2367523309652015</v>
      </c>
      <c r="Z29" s="50" t="s">
        <v>12</v>
      </c>
      <c r="AA29" s="50" t="s">
        <v>12</v>
      </c>
      <c r="AB29" s="50" t="s">
        <v>12</v>
      </c>
      <c r="AC29" s="38"/>
      <c r="AD29" s="38">
        <f t="shared" si="0"/>
        <v>-1.3837346670859187</v>
      </c>
      <c r="AE29" s="38"/>
      <c r="AF29" s="38"/>
      <c r="AG29" s="38"/>
      <c r="AH29" s="38"/>
      <c r="AI29" s="38"/>
      <c r="AJ29" s="38"/>
    </row>
    <row r="30" spans="1:36">
      <c r="A30" s="117"/>
      <c r="B30" s="120"/>
      <c r="C30" s="21" t="s">
        <v>28</v>
      </c>
      <c r="D30" s="41">
        <v>11389</v>
      </c>
      <c r="E30" s="92">
        <f>(résultats!E34-résultats!E161)/résultats!E162</f>
        <v>0.58979031965192141</v>
      </c>
      <c r="F30" s="92">
        <f>(résultats!F34-résultats!F161)/résultats!F162</f>
        <v>0.3153845202851755</v>
      </c>
      <c r="G30" s="92">
        <f>(résultats!G34-résultats!G161)/résultats!G162</f>
        <v>-0.46273869156303915</v>
      </c>
      <c r="H30" s="92">
        <f>(résultats!H34-résultats!H161)/résultats!H162</f>
        <v>-0.41257888004921411</v>
      </c>
      <c r="I30" s="92">
        <f>(résultats!I34-résultats!I161)/résultats!I162</f>
        <v>-0.36559064546304315</v>
      </c>
      <c r="J30" s="92">
        <f>(résultats!J34-résultats!J161)/résultats!J162</f>
        <v>-0.31253219617530537</v>
      </c>
      <c r="K30" s="92">
        <f>(résultats!K34-résultats!K161)/résultats!K162</f>
        <v>0.11103107403819271</v>
      </c>
      <c r="L30" s="92">
        <f>(résultats!L34-résultats!L161)/résultats!L162</f>
        <v>0.21652923861606985</v>
      </c>
      <c r="M30" s="92">
        <f>(résultats!O34-résultats!O161)/résultats!O162</f>
        <v>-0.61061132097003668</v>
      </c>
      <c r="N30" s="92">
        <f>(résultats!P34-résultats!P161)/résultats!P162</f>
        <v>-0.53491079370236527</v>
      </c>
      <c r="O30" s="92">
        <f>(résultats!Q34-résultats!Q161)/résultats!Q162</f>
        <v>-0.37244127976455105</v>
      </c>
      <c r="P30" s="92">
        <f>(résultats!R34-résultats!R161)/résultats!R162</f>
        <v>-0.31615234610006482</v>
      </c>
      <c r="Q30" s="92">
        <f>(résultats!S34-résultats!S161)/résultats!S162</f>
        <v>0.75320053978400225</v>
      </c>
      <c r="R30" s="92">
        <f>(résultats!T34-résultats!T161)/résultats!T162</f>
        <v>0.67276401536671082</v>
      </c>
      <c r="S30" s="92">
        <f>(résultats!U34-résultats!U161)/résultats!U162</f>
        <v>-5.1003448780853881E-2</v>
      </c>
      <c r="T30" s="92">
        <f>(résultats!V34-résultats!V161)/résultats!V162</f>
        <v>-0.33111195110010311</v>
      </c>
      <c r="U30" s="92">
        <f>(résultats!W34-résultats!W161)/résultats!W162</f>
        <v>-0.12697901123599889</v>
      </c>
      <c r="V30" s="92">
        <f>(résultats!X34-résultats!X161)/résultats!X162</f>
        <v>-0.23391869954950678</v>
      </c>
      <c r="W30" s="92">
        <f>(résultats!Y34-résultats!Y161)/résultats!Y162</f>
        <v>-0.16555708705322653</v>
      </c>
      <c r="X30" s="92">
        <f>(résultats!Z34-résultats!Z161)/résultats!Z162</f>
        <v>-0.30380161821453971</v>
      </c>
      <c r="Y30" s="92">
        <f>(résultats!AA34-résultats!AA161)/résultats!AA162</f>
        <v>-1.3101558874636683</v>
      </c>
      <c r="Z30" s="92" t="s">
        <v>12</v>
      </c>
      <c r="AA30" s="92" t="s">
        <v>12</v>
      </c>
      <c r="AB30" s="92" t="s">
        <v>12</v>
      </c>
      <c r="AC30" s="37"/>
      <c r="AD30" s="37">
        <f t="shared" si="0"/>
        <v>-1.2508566544023336</v>
      </c>
      <c r="AE30" s="37"/>
      <c r="AF30" s="37"/>
      <c r="AG30" s="37"/>
      <c r="AH30" s="37"/>
      <c r="AI30" s="37"/>
      <c r="AJ30" s="37"/>
    </row>
    <row r="31" spans="1:36">
      <c r="A31" s="117"/>
      <c r="B31" s="118">
        <v>3</v>
      </c>
      <c r="C31" s="2" t="s">
        <v>16</v>
      </c>
      <c r="D31" s="41">
        <f>D17+11111+139</f>
        <v>22639</v>
      </c>
      <c r="E31" s="85">
        <f>(résultats!E35-résultats!E161)/résultats!E162</f>
        <v>-0.15577214728268154</v>
      </c>
      <c r="F31" s="85">
        <f>(résultats!F35-résultats!F161)/résultats!F162</f>
        <v>-0.53528312322354643</v>
      </c>
      <c r="G31" s="85">
        <f>(résultats!G35-résultats!G161)/résultats!G162</f>
        <v>-0.8432151839539469</v>
      </c>
      <c r="H31" s="85">
        <f>(résultats!H35-résultats!H161)/résultats!H162</f>
        <v>-0.8307199338726271</v>
      </c>
      <c r="I31" s="85">
        <f>(résultats!I35-résultats!I161)/résultats!I162</f>
        <v>-0.86010103673412686</v>
      </c>
      <c r="J31" s="85">
        <f>(résultats!J35-résultats!J161)/résultats!J162</f>
        <v>-0.88341932577076732</v>
      </c>
      <c r="K31" s="85">
        <f>(résultats!K35-résultats!K161)/résultats!K162</f>
        <v>0.86448127708883504</v>
      </c>
      <c r="L31" s="85">
        <f>(résultats!L35-résultats!L161)/résultats!L162</f>
        <v>0.8046487353909062</v>
      </c>
      <c r="M31" s="85">
        <f>(résultats!O35-résultats!O161)/résultats!O162</f>
        <v>-0.6343801064591249</v>
      </c>
      <c r="N31" s="85">
        <f>(résultats!P35-résultats!P161)/résultats!P162</f>
        <v>-0.65518530606300174</v>
      </c>
      <c r="O31" s="85">
        <f>(résultats!Q35-résultats!Q161)/résultats!Q162</f>
        <v>-0.88482325841341503</v>
      </c>
      <c r="P31" s="85">
        <f>(résultats!R35-résultats!R161)/résultats!R162</f>
        <v>-0.88523551815277457</v>
      </c>
      <c r="Q31" s="85">
        <f>(résultats!S35-résultats!S161)/résultats!S162</f>
        <v>0.19700101302110262</v>
      </c>
      <c r="R31" s="85">
        <f>(résultats!T35-résultats!T161)/résultats!T162</f>
        <v>0.77704730904864416</v>
      </c>
      <c r="S31" s="85">
        <f>(résultats!U35-résultats!U161)/résultats!U162</f>
        <v>-1.9405438318012653</v>
      </c>
      <c r="T31" s="85">
        <f>(résultats!V35-résultats!V161)/résultats!V162</f>
        <v>-1.3013582042313085</v>
      </c>
      <c r="U31" s="85">
        <f>(résultats!W35-résultats!W161)/résultats!W162</f>
        <v>-0.24409053284629598</v>
      </c>
      <c r="V31" s="85">
        <f>(résultats!X35-résultats!X161)/résultats!X162</f>
        <v>-0.2454950441897891</v>
      </c>
      <c r="W31" s="85">
        <f>(résultats!Y35-résultats!Y161)/résultats!Y162</f>
        <v>-0.17959573204936757</v>
      </c>
      <c r="X31" s="85">
        <f>(résultats!Z35-résultats!Z161)/résultats!Z162</f>
        <v>-0.29325963373632025</v>
      </c>
      <c r="Y31" s="85">
        <f>(résultats!AA35-résultats!AA161)/résultats!AA162</f>
        <v>-1.0599374747456245</v>
      </c>
      <c r="Z31" s="85" t="s">
        <v>12</v>
      </c>
      <c r="AA31" s="85" t="s">
        <v>12</v>
      </c>
      <c r="AB31" s="85" t="s">
        <v>12</v>
      </c>
      <c r="AC31" s="25"/>
      <c r="AD31" s="25">
        <f t="shared" si="0"/>
        <v>-1.900407328360235</v>
      </c>
      <c r="AE31" s="25"/>
      <c r="AF31" s="25"/>
      <c r="AG31" s="25"/>
      <c r="AH31" s="25"/>
      <c r="AI31" s="25"/>
      <c r="AJ31" s="25"/>
    </row>
    <row r="32" spans="1:36">
      <c r="A32" s="117"/>
      <c r="B32" s="119"/>
      <c r="C32" s="1" t="s">
        <v>15</v>
      </c>
      <c r="D32" s="41">
        <f t="shared" ref="D32:D44" si="1">D18+11111+139</f>
        <v>22639</v>
      </c>
      <c r="E32" s="43">
        <f>(résultats!E36-résultats!E161)/résultats!E162</f>
        <v>-5.9811746189553067E-2</v>
      </c>
      <c r="F32" s="43">
        <f>(résultats!F36-résultats!F161)/résultats!F162</f>
        <v>-0.38225396845057769</v>
      </c>
      <c r="G32" s="43">
        <f>(résultats!G36-résultats!G161)/résultats!G162</f>
        <v>-0.45224136880840726</v>
      </c>
      <c r="H32" s="43">
        <f>(résultats!H36-résultats!H161)/résultats!H162</f>
        <v>-0.45632984116707126</v>
      </c>
      <c r="I32" s="43">
        <f>(résultats!I36-résultats!I161)/résultats!I162</f>
        <v>-0.47996796361694122</v>
      </c>
      <c r="J32" s="43">
        <f>(résultats!J36-résultats!J161)/résultats!J162</f>
        <v>-0.51241536241313757</v>
      </c>
      <c r="K32" s="43">
        <f>(résultats!K36-résultats!K161)/résultats!K162</f>
        <v>0.26523633126466656</v>
      </c>
      <c r="L32" s="43">
        <f>(résultats!L36-résultats!L161)/résultats!L162</f>
        <v>0.42522321347702896</v>
      </c>
      <c r="M32" s="43">
        <f>(résultats!O36-résultats!O161)/résultats!O162</f>
        <v>-0.40820525703951943</v>
      </c>
      <c r="N32" s="43">
        <f>(résultats!P36-résultats!P161)/résultats!P162</f>
        <v>-0.33527058917242458</v>
      </c>
      <c r="O32" s="43">
        <f>(résultats!Q36-résultats!Q161)/résultats!Q162</f>
        <v>-0.48998250556908157</v>
      </c>
      <c r="P32" s="43">
        <f>(résultats!R36-résultats!R161)/résultats!R162</f>
        <v>-0.52315236345952232</v>
      </c>
      <c r="Q32" s="43">
        <f>(résultats!S36-résultats!S161)/résultats!S162</f>
        <v>0.26056667322257776</v>
      </c>
      <c r="R32" s="43">
        <f>(résultats!T36-résultats!T161)/résultats!T162</f>
        <v>-3.0014702924615621E-2</v>
      </c>
      <c r="S32" s="43">
        <f>(résultats!U36-résultats!U161)/résultats!U162</f>
        <v>-0.40782652540273373</v>
      </c>
      <c r="T32" s="43">
        <f>(résultats!V36-résultats!V161)/résultats!V162</f>
        <v>-0.68959651048994608</v>
      </c>
      <c r="U32" s="43">
        <f>(résultats!W36-résultats!W161)/résultats!W162</f>
        <v>-0.15649492318656119</v>
      </c>
      <c r="V32" s="43">
        <f>(résultats!X36-résultats!X161)/résultats!X162</f>
        <v>-8.3426219225836734E-2</v>
      </c>
      <c r="W32" s="43">
        <f>(résultats!Y36-résultats!Y161)/résultats!Y162</f>
        <v>-1.999850472482061E-2</v>
      </c>
      <c r="X32" s="43">
        <f>(résultats!Z36-résultats!Z161)/résultats!Z162</f>
        <v>-0.25410035953514681</v>
      </c>
      <c r="Y32" s="43">
        <f>(résultats!AA36-résultats!AA161)/résultats!AA162</f>
        <v>-0.83511022936981749</v>
      </c>
      <c r="Z32" s="43">
        <f>(résultats!AB36-résultats!AB161)/résultats!AB162</f>
        <v>-0.65036444555608852</v>
      </c>
      <c r="AA32" s="43">
        <f>(résultats!AC36-résultats!AC161)/résultats!AC162</f>
        <v>-0.16240472876865328</v>
      </c>
      <c r="AB32" s="43">
        <f>(résultats!AD36-résultats!AD161)/résultats!AD162</f>
        <v>-1.720104400123843</v>
      </c>
      <c r="AC32" s="26"/>
      <c r="AD32" s="26">
        <f t="shared" si="0"/>
        <v>-0.69217348288267666</v>
      </c>
      <c r="AE32" s="26"/>
      <c r="AF32" s="26"/>
      <c r="AG32" s="26"/>
      <c r="AH32" s="26"/>
      <c r="AI32" s="26"/>
      <c r="AJ32" s="26"/>
    </row>
    <row r="33" spans="1:36">
      <c r="A33" s="117"/>
      <c r="B33" s="119"/>
      <c r="C33" s="5" t="s">
        <v>14</v>
      </c>
      <c r="D33" s="41">
        <f t="shared" si="1"/>
        <v>22639</v>
      </c>
      <c r="E33" s="44">
        <f>(résultats!E37-résultats!E161)/résultats!E162</f>
        <v>-6.1539486586854582E-4</v>
      </c>
      <c r="F33" s="44">
        <f>(résultats!F37-résultats!F161)/résultats!F162</f>
        <v>-0.39856190811659448</v>
      </c>
      <c r="G33" s="44">
        <f>(résultats!G37-résultats!G161)/résultats!G162</f>
        <v>-0.97968037976415623</v>
      </c>
      <c r="H33" s="44">
        <f>(résultats!H37-résultats!H161)/résultats!H162</f>
        <v>-0.97550333424380908</v>
      </c>
      <c r="I33" s="44">
        <f>(résultats!I37-résultats!I161)/résultats!I162</f>
        <v>-0.9553592358259182</v>
      </c>
      <c r="J33" s="44">
        <f>(résultats!J37-résultats!J161)/résultats!J162</f>
        <v>-0.98538804394720481</v>
      </c>
      <c r="K33" s="44">
        <f>(résultats!K37-résultats!K161)/résultats!K162</f>
        <v>0.43336980527288649</v>
      </c>
      <c r="L33" s="44">
        <f>(résultats!L37-résultats!L161)/résultats!L162</f>
        <v>0.63073708967344022</v>
      </c>
      <c r="M33" s="44">
        <f>(résultats!O37-résultats!O161)/résultats!O162</f>
        <v>-0.99016911424891452</v>
      </c>
      <c r="N33" s="44">
        <f>(résultats!P37-résultats!P161)/résultats!P162</f>
        <v>-0.95883973480181917</v>
      </c>
      <c r="O33" s="44">
        <f>(résultats!Q37-résultats!Q161)/résultats!Q162</f>
        <v>-0.96403582362951223</v>
      </c>
      <c r="P33" s="44">
        <f>(résultats!R37-résultats!R161)/résultats!R162</f>
        <v>-0.97653506002647306</v>
      </c>
      <c r="Q33" s="44">
        <f>(résultats!S37-résultats!S161)/résultats!S162</f>
        <v>0.9566106524287199</v>
      </c>
      <c r="R33" s="44">
        <f>(résultats!T37-résultats!T161)/résultats!T162</f>
        <v>0.92667116520098924</v>
      </c>
      <c r="S33" s="44">
        <f>(résultats!U37-résultats!U161)/résultats!U162</f>
        <v>-0.36727844851388386</v>
      </c>
      <c r="T33" s="44">
        <f>(résultats!V37-résultats!V161)/résultats!V162</f>
        <v>-0.592182228047054</v>
      </c>
      <c r="U33" s="44">
        <f>(résultats!W37-résultats!W161)/résultats!W162</f>
        <v>-0.14364121959518728</v>
      </c>
      <c r="V33" s="44">
        <f>(résultats!X37-résultats!X161)/résultats!X162</f>
        <v>-0.32652945667176542</v>
      </c>
      <c r="W33" s="44">
        <f>(résultats!Y37-résultats!Y161)/résultats!Y162</f>
        <v>-0.27343299070778132</v>
      </c>
      <c r="X33" s="44">
        <f>(résultats!Z37-résultats!Z161)/résultats!Z162</f>
        <v>-0.27679361373272976</v>
      </c>
      <c r="Y33" s="44">
        <f>(résultats!AA37-résultats!AA161)/résultats!AA162</f>
        <v>-1.2469087979020963</v>
      </c>
      <c r="Z33" s="44">
        <f>(résultats!AB37-résultats!AB161)/résultats!AB162</f>
        <v>-0.67016911646973554</v>
      </c>
      <c r="AA33" s="44">
        <f>(résultats!AC37-résultats!AC161)/résultats!AC162</f>
        <v>-0.16214955641808745</v>
      </c>
      <c r="AB33" s="44">
        <f>(résultats!AD37-résultats!AD161)/résultats!AD162</f>
        <v>-0.4273030803069684</v>
      </c>
      <c r="AC33" s="27"/>
      <c r="AD33" s="27">
        <f t="shared" si="0"/>
        <v>-2.3554394588087026</v>
      </c>
      <c r="AE33" s="27"/>
      <c r="AF33" s="27"/>
      <c r="AG33" s="27"/>
      <c r="AH33" s="27"/>
      <c r="AI33" s="27"/>
      <c r="AJ33" s="27"/>
    </row>
    <row r="34" spans="1:36">
      <c r="A34" s="117"/>
      <c r="B34" s="119"/>
      <c r="C34" s="12" t="s">
        <v>11</v>
      </c>
      <c r="D34" s="41">
        <f t="shared" si="1"/>
        <v>22639</v>
      </c>
      <c r="E34" s="45">
        <f>(résultats!E38-résultats!E161)/résultats!E162</f>
        <v>-0.13520920419129598</v>
      </c>
      <c r="F34" s="45">
        <f>(résultats!F38-résultats!F161)/résultats!F162</f>
        <v>-0.23737878351061731</v>
      </c>
      <c r="G34" s="45">
        <f>(résultats!G38-résultats!G161)/résultats!G162</f>
        <v>-0.89714260673264212</v>
      </c>
      <c r="H34" s="45">
        <f>(résultats!H38-résultats!H161)/résultats!H162</f>
        <v>-0.74651478735693977</v>
      </c>
      <c r="I34" s="45">
        <f>(résultats!I38-résultats!I161)/résultats!I162</f>
        <v>-0.91003567710810029</v>
      </c>
      <c r="J34" s="45">
        <f>(résultats!J38-résultats!J161)/résultats!J162</f>
        <v>-0.71413442455212106</v>
      </c>
      <c r="K34" s="45">
        <f>(résultats!K38-résultats!K161)/résultats!K162</f>
        <v>0.13126015079263334</v>
      </c>
      <c r="L34" s="45">
        <f>(résultats!L38-résultats!L161)/résultats!L162</f>
        <v>-0.32388877819054712</v>
      </c>
      <c r="M34" s="45">
        <f>(résultats!O38-résultats!O161)/résultats!O162</f>
        <v>-0.97605639786476861</v>
      </c>
      <c r="N34" s="45">
        <f>(résultats!P38-résultats!P161)/résultats!P162</f>
        <v>-0.47670928611154234</v>
      </c>
      <c r="O34" s="45">
        <f>(résultats!Q38-résultats!Q161)/résultats!Q162</f>
        <v>-0.9048208204595547</v>
      </c>
      <c r="P34" s="45">
        <f>(résultats!R38-résultats!R161)/résultats!R162</f>
        <v>-0.7020430986336561</v>
      </c>
      <c r="Q34" s="45">
        <f>(résultats!S38-résultats!S161)/résultats!S162</f>
        <v>1.0169980296201198</v>
      </c>
      <c r="R34" s="45">
        <f>(résultats!T38-résultats!T161)/résultats!T162</f>
        <v>2.0465830582200621</v>
      </c>
      <c r="S34" s="45">
        <f>(résultats!U38-résultats!U161)/résultats!U162</f>
        <v>0.31392924321879651</v>
      </c>
      <c r="T34" s="45">
        <f>(résultats!V38-résultats!V161)/résultats!V162</f>
        <v>0.62744458813795578</v>
      </c>
      <c r="U34" s="45">
        <f>(résultats!W38-résultats!W161)/résultats!W162</f>
        <v>-8.937002665382994E-2</v>
      </c>
      <c r="V34" s="45">
        <f>(résultats!X38-résultats!X161)/résultats!X162</f>
        <v>-0.25707138883007141</v>
      </c>
      <c r="W34" s="45">
        <f>(résultats!Y38-résultats!Y161)/résultats!Y162</f>
        <v>-0.19511212915036472</v>
      </c>
      <c r="X34" s="45">
        <f>(résultats!Z38-résultats!Z161)/résultats!Z162</f>
        <v>-0.28789534959917323</v>
      </c>
      <c r="Y34" s="45">
        <f>(résultats!AA38-résultats!AA161)/résultats!AA162</f>
        <v>-0.99022717895148316</v>
      </c>
      <c r="Z34" s="45">
        <f>(résultats!AB38-résultats!AB161)/résultats!AB162</f>
        <v>0.6332257880346629</v>
      </c>
      <c r="AA34" s="45">
        <f>(résultats!AC38-résultats!AC161)/résultats!AC162</f>
        <v>6.0848523439591418</v>
      </c>
      <c r="AB34" s="45">
        <f>(résultats!AD38-résultats!AD161)/résultats!AD162</f>
        <v>6.0962525374356064E-2</v>
      </c>
      <c r="AC34" s="28"/>
      <c r="AD34" s="28">
        <f t="shared" si="0"/>
        <v>-2.5985706477099093</v>
      </c>
      <c r="AE34" s="28"/>
      <c r="AF34" s="28"/>
      <c r="AG34" s="28"/>
      <c r="AH34" s="28"/>
      <c r="AI34" s="28"/>
      <c r="AJ34" s="28"/>
    </row>
    <row r="35" spans="1:36">
      <c r="A35" s="117"/>
      <c r="B35" s="119"/>
      <c r="C35" s="3" t="s">
        <v>8</v>
      </c>
      <c r="D35" s="41">
        <f t="shared" si="1"/>
        <v>22639</v>
      </c>
      <c r="E35" s="88">
        <f>(résultats!E39-résultats!E161)/résultats!E162</f>
        <v>-0.25640594453294396</v>
      </c>
      <c r="F35" s="88">
        <f>(résultats!F39-résultats!F161)/résultats!F162</f>
        <v>-0.30393793261261476</v>
      </c>
      <c r="G35" s="88">
        <f>(résultats!G39-résultats!G161)/résultats!G162</f>
        <v>-0.60908372055407789</v>
      </c>
      <c r="H35" s="88">
        <f>(résultats!H39-résultats!H161)/résultats!H162</f>
        <v>-0.57755503170556055</v>
      </c>
      <c r="I35" s="88">
        <f>(résultats!I39-résultats!I161)/résultats!I162</f>
        <v>-0.65653865142581169</v>
      </c>
      <c r="J35" s="88">
        <f>(résultats!J39-résultats!J161)/résultats!J162</f>
        <v>-0.60535759240891562</v>
      </c>
      <c r="K35" s="88">
        <f>(résultats!K39-résultats!K161)/résultats!K162</f>
        <v>0.18929438738324181</v>
      </c>
      <c r="L35" s="88">
        <f>(résultats!L39-résultats!L161)/résultats!L162</f>
        <v>0.33836676870156307</v>
      </c>
      <c r="M35" s="88">
        <f>(résultats!O39-résultats!O161)/résultats!O162</f>
        <v>-0.58442851820471298</v>
      </c>
      <c r="N35" s="88">
        <f>(résultats!P39-résultats!P161)/résultats!P162</f>
        <v>-0.59478995007075108</v>
      </c>
      <c r="O35" s="88">
        <f>(résultats!Q39-résultats!Q161)/résultats!Q162</f>
        <v>-0.66085056349665239</v>
      </c>
      <c r="P35" s="88">
        <f>(résultats!R39-résultats!R161)/résultats!R162</f>
        <v>-0.60332685961343546</v>
      </c>
      <c r="Q35" s="88">
        <f>(résultats!S39-résultats!S161)/résultats!S162</f>
        <v>0.19382273001102729</v>
      </c>
      <c r="R35" s="88">
        <f>(résultats!T39-résultats!T161)/résultats!T162</f>
        <v>0.48686770923803385</v>
      </c>
      <c r="S35" s="88">
        <f>(résultats!U39-résultats!U161)/résultats!U162</f>
        <v>-0.37538806389165369</v>
      </c>
      <c r="T35" s="88">
        <f>(résultats!V39-résultats!V161)/résultats!V162</f>
        <v>-0.57269937155847528</v>
      </c>
      <c r="U35" s="88">
        <f>(résultats!W39-résultats!W161)/résultats!W162</f>
        <v>-0.12888326361990579</v>
      </c>
      <c r="V35" s="88">
        <f>(résultats!X39-résultats!X161)/résultats!X162</f>
        <v>-0.10657890850640139</v>
      </c>
      <c r="W35" s="88">
        <f>(résultats!Y39-résultats!Y161)/résultats!Y162</f>
        <v>-3.9209282087960345E-2</v>
      </c>
      <c r="X35" s="88">
        <f>(résultats!Z39-résultats!Z161)/résultats!Z162</f>
        <v>-0.18140264798954966</v>
      </c>
      <c r="Y35" s="88">
        <f>(résultats!AA39-résultats!AA161)/résultats!AA162</f>
        <v>-0.39930546625942387</v>
      </c>
      <c r="Z35" s="88" t="s">
        <v>12</v>
      </c>
      <c r="AA35" s="88" t="s">
        <v>12</v>
      </c>
      <c r="AB35" s="88" t="s">
        <v>12</v>
      </c>
      <c r="AC35" s="29"/>
      <c r="AD35" s="29">
        <f t="shared" si="0"/>
        <v>-1.3897399931253447</v>
      </c>
      <c r="AE35" s="29"/>
      <c r="AF35" s="29"/>
      <c r="AG35" s="29"/>
      <c r="AH35" s="29"/>
      <c r="AI35" s="29"/>
      <c r="AJ35" s="29"/>
    </row>
    <row r="36" spans="1:36">
      <c r="A36" s="117"/>
      <c r="B36" s="119"/>
      <c r="C36" s="9" t="s">
        <v>7</v>
      </c>
      <c r="D36" s="41">
        <f t="shared" si="1"/>
        <v>22639</v>
      </c>
      <c r="E36" s="46">
        <f>(résultats!E40-résultats!E161)/résultats!E162</f>
        <v>9.7214364690113159E-2</v>
      </c>
      <c r="F36" s="46">
        <f>(résultats!F40-résultats!F161)/résultats!F162</f>
        <v>-0.13744524625491075</v>
      </c>
      <c r="G36" s="46">
        <f>(résultats!G40-résultats!G161)/résultats!G162</f>
        <v>-0.3474739711200262</v>
      </c>
      <c r="H36" s="46">
        <f>(résultats!H40-résultats!H161)/résultats!H162</f>
        <v>-0.39403451662406325</v>
      </c>
      <c r="I36" s="46">
        <f>(résultats!I40-résultats!I161)/résultats!I162</f>
        <v>-0.34669645721343217</v>
      </c>
      <c r="J36" s="46">
        <f>(résultats!J40-résultats!J161)/résultats!J162</f>
        <v>-0.43974448299257096</v>
      </c>
      <c r="K36" s="46">
        <f>(résultats!K40-résultats!K161)/résultats!K162</f>
        <v>5.2333589029406005E-2</v>
      </c>
      <c r="L36" s="46">
        <f>(résultats!L40-résultats!L161)/résultats!L162</f>
        <v>0.20957277278737133</v>
      </c>
      <c r="M36" s="46">
        <f>(résultats!O40-résultats!O161)/résultats!O162</f>
        <v>-0.39372115338210623</v>
      </c>
      <c r="N36" s="46">
        <f>(résultats!P40-résultats!P161)/résultats!P162</f>
        <v>-0.43025131996365706</v>
      </c>
      <c r="O36" s="46">
        <f>(résultats!Q40-résultats!Q161)/résultats!Q162</f>
        <v>-0.35166603474995045</v>
      </c>
      <c r="P36" s="46">
        <f>(résultats!R40-résultats!R161)/résultats!R162</f>
        <v>-0.42836697392695772</v>
      </c>
      <c r="Q36" s="46">
        <f>(résultats!S40-résultats!S161)/résultats!S162</f>
        <v>0.3241323334240529</v>
      </c>
      <c r="R36" s="46">
        <f>(résultats!T40-résultats!T161)/résultats!T162</f>
        <v>0.22842650315671234</v>
      </c>
      <c r="S36" s="46">
        <f>(résultats!U40-résultats!U161)/résultats!U162</f>
        <v>5.4421551130156107E-2</v>
      </c>
      <c r="T36" s="46">
        <f>(résultats!V40-résultats!V161)/résultats!V162</f>
        <v>0.12868346203034831</v>
      </c>
      <c r="U36" s="46">
        <f>(résultats!W40-résultats!W161)/résultats!W162</f>
        <v>-0.12650294814002183</v>
      </c>
      <c r="V36" s="46">
        <f>(résultats!X40-résultats!X161)/résultats!X162</f>
        <v>-7.1849874585554405E-2</v>
      </c>
      <c r="W36" s="46">
        <f>(résultats!Y40-résultats!Y161)/résultats!Y162</f>
        <v>-8.9153639383938634E-3</v>
      </c>
      <c r="X36" s="46">
        <f>(résultats!Z40-résultats!Z161)/résultats!Z162</f>
        <v>-0.2335294960179134</v>
      </c>
      <c r="Y36" s="46">
        <f>(résultats!AA40-résultats!AA161)/résultats!AA162</f>
        <v>-0.3831474506780006</v>
      </c>
      <c r="Z36" s="46" t="s">
        <v>12</v>
      </c>
      <c r="AA36" s="46" t="s">
        <v>12</v>
      </c>
      <c r="AB36" s="46" t="s">
        <v>12</v>
      </c>
      <c r="AC36" s="30"/>
      <c r="AD36" s="30">
        <f t="shared" si="0"/>
        <v>-0.90108661953575298</v>
      </c>
      <c r="AE36" s="30"/>
      <c r="AF36" s="30"/>
      <c r="AG36" s="30"/>
      <c r="AH36" s="30"/>
      <c r="AI36" s="30"/>
      <c r="AJ36" s="30"/>
    </row>
    <row r="37" spans="1:36">
      <c r="A37" s="117"/>
      <c r="B37" s="119"/>
      <c r="C37" s="7" t="s">
        <v>18</v>
      </c>
      <c r="D37" s="41">
        <f t="shared" si="1"/>
        <v>22639</v>
      </c>
      <c r="E37" s="47">
        <f>(résultats!E41-résultats!E161)/résultats!E162</f>
        <v>0.43868384390462339</v>
      </c>
      <c r="F37" s="47">
        <f>(résultats!F41-résultats!F161)/résultats!F162</f>
        <v>0.23896475650140098</v>
      </c>
      <c r="G37" s="47">
        <f>(résultats!G41-résultats!G161)/résultats!G162</f>
        <v>-0.36651323297891691</v>
      </c>
      <c r="H37" s="47">
        <f>(résultats!H41-résultats!H161)/résultats!H162</f>
        <v>-0.37652039561141981</v>
      </c>
      <c r="I37" s="47">
        <f>(résultats!I41-résultats!I161)/résultats!I162</f>
        <v>-0.30036070983938473</v>
      </c>
      <c r="J37" s="47">
        <f>(résultats!J41-résultats!J161)/résultats!J162</f>
        <v>-0.30289374269426184</v>
      </c>
      <c r="K37" s="47">
        <f>(résultats!K41-résultats!K161)/résultats!K162</f>
        <v>0.29674063112813981</v>
      </c>
      <c r="L37" s="47">
        <f>(résultats!L41-résultats!L161)/résultats!L162</f>
        <v>0.39580730082996041</v>
      </c>
      <c r="M37" s="47">
        <f>(résultats!O41-résultats!O161)/résultats!O162</f>
        <v>-0.39539239611180782</v>
      </c>
      <c r="N37" s="47">
        <f>(résultats!P41-résultats!P161)/résultats!P162</f>
        <v>-0.43541331620231072</v>
      </c>
      <c r="O37" s="47">
        <f>(résultats!Q41-résultats!Q161)/résultats!Q162</f>
        <v>-0.31600371576766784</v>
      </c>
      <c r="P37" s="47">
        <f>(résultats!R41-résultats!R161)/résultats!R162</f>
        <v>-0.30932898472526393</v>
      </c>
      <c r="Q37" s="47">
        <f>(résultats!S41-résultats!S161)/résultats!S162</f>
        <v>0.22560556011176711</v>
      </c>
      <c r="R37" s="47">
        <f>(résultats!T41-résultats!T161)/résultats!T162</f>
        <v>0.65916184662558797</v>
      </c>
      <c r="S37" s="47">
        <f>(résultats!U41-résultats!U161)/résultats!U162</f>
        <v>-0.83763614042454426</v>
      </c>
      <c r="T37" s="47">
        <f>(résultats!V41-résultats!V161)/résultats!V162</f>
        <v>-1.0909433541546614</v>
      </c>
      <c r="U37" s="47">
        <f>(résultats!W41-résultats!W161)/résultats!W162</f>
        <v>-0.16934862677793577</v>
      </c>
      <c r="V37" s="47">
        <f>(résultats!X41-résultats!X161)/résultats!X162</f>
        <v>-0.1644606317078128</v>
      </c>
      <c r="W37" s="47">
        <f>(résultats!Y41-résultats!Y161)/résultats!Y162</f>
        <v>-9.610273812495175E-2</v>
      </c>
      <c r="X37" s="47">
        <f>(résultats!Z41-résultats!Z161)/résultats!Z162</f>
        <v>-0.26244998440948875</v>
      </c>
      <c r="Y37" s="47">
        <f>(résultats!AA41-résultats!AA161)/résultats!AA162</f>
        <v>-0.82495376243292284</v>
      </c>
      <c r="Z37" s="47">
        <f>(résultats!AB41-résultats!AB161)/résultats!AB162</f>
        <v>-4.7559774621955334E-2</v>
      </c>
      <c r="AA37" s="47">
        <f>(résultats!AC41-résultats!AC161)/résultats!AC162</f>
        <v>-0.16071421194615468</v>
      </c>
      <c r="AB37" s="47">
        <f>(résultats!AD41-résultats!AD161)/résultats!AD162</f>
        <v>-1.4542359025786573</v>
      </c>
      <c r="AC37" s="31"/>
      <c r="AD37" s="31">
        <f t="shared" si="0"/>
        <v>-1.1485050090689524</v>
      </c>
      <c r="AE37" s="31"/>
      <c r="AF37" s="31"/>
      <c r="AG37" s="31"/>
      <c r="AH37" s="31"/>
      <c r="AI37" s="31"/>
      <c r="AJ37" s="31"/>
    </row>
    <row r="38" spans="1:36">
      <c r="A38" s="117"/>
      <c r="B38" s="119"/>
      <c r="C38" s="6" t="s">
        <v>19</v>
      </c>
      <c r="D38" s="41">
        <f t="shared" si="1"/>
        <v>22639</v>
      </c>
      <c r="E38" s="89">
        <f>(résultats!E42-résultats!E161)/résultats!E162</f>
        <v>-0.11495782084372078</v>
      </c>
      <c r="F38" s="89">
        <f>(résultats!F42-résultats!F161)/résultats!F162</f>
        <v>-0.26866727240471833</v>
      </c>
      <c r="G38" s="89">
        <f>(résultats!G42-résultats!G161)/résultats!G162</f>
        <v>-0.62544719425982731</v>
      </c>
      <c r="H38" s="89">
        <f>(résultats!H42-résultats!H161)/résultats!H162</f>
        <v>-0.5737774761930301</v>
      </c>
      <c r="I38" s="89">
        <f>(résultats!I42-résultats!I161)/résultats!I162</f>
        <v>-0.64619183405102421</v>
      </c>
      <c r="J38" s="89">
        <f>(résultats!J42-résultats!J161)/résultats!J162</f>
        <v>-0.58921700761129492</v>
      </c>
      <c r="K38" s="89">
        <f>(résultats!K42-résultats!K161)/résultats!K162</f>
        <v>0.56137674998131426</v>
      </c>
      <c r="L38" s="89">
        <f>(résultats!L42-résultats!L161)/résultats!L162</f>
        <v>0.56793014104861828</v>
      </c>
      <c r="M38" s="89">
        <f>(résultats!O42-résultats!O161)/résultats!O162</f>
        <v>-0.49455279807409791</v>
      </c>
      <c r="N38" s="89">
        <f>(résultats!P42-résultats!P161)/résultats!P162</f>
        <v>-0.44483395933785436</v>
      </c>
      <c r="O38" s="89">
        <f>(résultats!Q42-résultats!Q161)/résultats!Q162</f>
        <v>-0.66451678320511109</v>
      </c>
      <c r="P38" s="89">
        <f>(résultats!R42-résultats!R161)/résultats!R162</f>
        <v>-0.59457515698053864</v>
      </c>
      <c r="Q38" s="89">
        <f>(résultats!S42-résultats!S161)/résultats!S162</f>
        <v>4.7621711547638522E-2</v>
      </c>
      <c r="R38" s="89">
        <f>(résultats!T42-résultats!T161)/résultats!T162</f>
        <v>0.10147292823956991</v>
      </c>
      <c r="S38" s="89">
        <f>(résultats!U42-résultats!U161)/résultats!U162</f>
        <v>-1.2755553708241245</v>
      </c>
      <c r="T38" s="89">
        <f>(résultats!V42-résultats!V161)/résultats!V162</f>
        <v>-1.059770783772936</v>
      </c>
      <c r="U38" s="89">
        <f>(résultats!W42-résultats!W161)/résultats!W162</f>
        <v>-0.19934060182447513</v>
      </c>
      <c r="V38" s="89">
        <f>(résultats!X42-résultats!X161)/résultats!X162</f>
        <v>-0.15288428706753046</v>
      </c>
      <c r="W38" s="89">
        <f>(résultats!Y42-résultats!Y161)/résultats!Y162</f>
        <v>-8.5758473390953313E-2</v>
      </c>
      <c r="X38" s="89">
        <f>(résultats!Z42-résultats!Z161)/résultats!Z162</f>
        <v>-0.26305638174673146</v>
      </c>
      <c r="Y38" s="89">
        <f>(résultats!AA42-résultats!AA161)/résultats!AA162</f>
        <v>-0.56411722518994345</v>
      </c>
      <c r="Z38" s="89" t="s">
        <v>12</v>
      </c>
      <c r="AA38" s="89" t="s">
        <v>12</v>
      </c>
      <c r="AB38" s="89" t="s">
        <v>12</v>
      </c>
      <c r="AC38" s="32"/>
      <c r="AD38" s="32">
        <f t="shared" si="0"/>
        <v>-0.94882769299042313</v>
      </c>
      <c r="AE38" s="32"/>
      <c r="AF38" s="32"/>
      <c r="AG38" s="32"/>
      <c r="AH38" s="32"/>
      <c r="AI38" s="32"/>
      <c r="AJ38" s="32"/>
    </row>
    <row r="39" spans="1:36">
      <c r="A39" s="117"/>
      <c r="B39" s="119"/>
      <c r="C39" s="4" t="s">
        <v>23</v>
      </c>
      <c r="D39" s="41">
        <f t="shared" si="1"/>
        <v>22639</v>
      </c>
      <c r="E39" s="48">
        <f>(résultats!E43-résultats!E161)/résultats!E162</f>
        <v>0.32247205946391971</v>
      </c>
      <c r="F39" s="48">
        <f>(résultats!F43-résultats!F161)/résultats!F162</f>
        <v>0.19554012646049507</v>
      </c>
      <c r="G39" s="48">
        <f>(résultats!G43-résultats!G161)/résultats!G162</f>
        <v>-0.45512298681948288</v>
      </c>
      <c r="H39" s="48">
        <f>(résultats!H43-résultats!H161)/résultats!H162</f>
        <v>-0.41333439115172038</v>
      </c>
      <c r="I39" s="48">
        <f>(résultats!I43-résultats!I161)/résultats!I162</f>
        <v>-0.40360395277476158</v>
      </c>
      <c r="J39" s="48">
        <f>(résultats!J43-résultats!J161)/résultats!J162</f>
        <v>-0.35177447106241133</v>
      </c>
      <c r="K39" s="48">
        <f>(résultats!K43-résultats!K161)/résultats!K162</f>
        <v>0.24301750925569093</v>
      </c>
      <c r="L39" s="48">
        <f>(résultats!L43-résultats!L161)/résultats!L162</f>
        <v>0.32763393570871391</v>
      </c>
      <c r="M39" s="48">
        <f>(résultats!O43-résultats!O161)/résultats!O162</f>
        <v>-0.4978952835335011</v>
      </c>
      <c r="N39" s="48">
        <f>(résultats!P43-résultats!P161)/résultats!P162</f>
        <v>-0.38701960146493009</v>
      </c>
      <c r="O39" s="48">
        <f>(résultats!Q43-résultats!Q161)/résultats!Q162</f>
        <v>-0.41343628195913645</v>
      </c>
      <c r="P39" s="48">
        <f>(résultats!R43-résultats!R161)/résultats!R162</f>
        <v>-0.36250670326583356</v>
      </c>
      <c r="Q39" s="48">
        <f>(résultats!S43-résultats!S161)/résultats!S162</f>
        <v>0.51482931402847376</v>
      </c>
      <c r="R39" s="48">
        <f>(résultats!T43-résultats!T161)/résultats!T162</f>
        <v>0.39165252805018025</v>
      </c>
      <c r="S39" s="48">
        <f>(résultats!U43-résultats!U161)/résultats!U162</f>
        <v>-0.24563421784733347</v>
      </c>
      <c r="T39" s="48">
        <f>(résultats!V43-résultats!V161)/résultats!V162</f>
        <v>-0.15966281400061247</v>
      </c>
      <c r="U39" s="48">
        <f>(résultats!W43-résultats!W161)/résultats!W162</f>
        <v>-0.15221035532277033</v>
      </c>
      <c r="V39" s="48">
        <f>(résultats!X43-résultats!X161)/résultats!X162</f>
        <v>-0.17603697634809512</v>
      </c>
      <c r="W39" s="48">
        <f>(résultats!Y43-résultats!Y161)/résultats!Y162</f>
        <v>-0.10644700285895019</v>
      </c>
      <c r="X39" s="48">
        <f>(résultats!Z43-résultats!Z161)/résultats!Z162</f>
        <v>-0.26639156710156636</v>
      </c>
      <c r="Y39" s="48">
        <f>(résultats!AA43-résultats!AA161)/résultats!AA162</f>
        <v>-0.43346812777443361</v>
      </c>
      <c r="Z39" s="48">
        <f>(résultats!AB43-résultats!AB161)/résultats!AB162</f>
        <v>-0.68873599545127961</v>
      </c>
      <c r="AA39" s="48">
        <f>(résultats!AC43-résultats!AC161)/résultats!AC162</f>
        <v>-0.16186248752370089</v>
      </c>
      <c r="AB39" s="48">
        <f>(résultats!AD43-résultats!AD161)/résultats!AD162</f>
        <v>0.18696655264695602</v>
      </c>
      <c r="AC39" s="33"/>
      <c r="AD39" s="33">
        <f t="shared" si="0"/>
        <v>-0.93886625635714527</v>
      </c>
      <c r="AE39" s="33"/>
      <c r="AF39" s="33"/>
      <c r="AG39" s="33"/>
      <c r="AH39" s="33"/>
      <c r="AI39" s="33"/>
      <c r="AJ39" s="33"/>
    </row>
    <row r="40" spans="1:36">
      <c r="A40" s="117"/>
      <c r="B40" s="119"/>
      <c r="C40" s="10" t="s">
        <v>24</v>
      </c>
      <c r="D40" s="41">
        <f t="shared" si="1"/>
        <v>22639</v>
      </c>
      <c r="E40" s="90">
        <f>(résultats!E44-résultats!E161)/résultats!E162</f>
        <v>2.9605900283589982E-2</v>
      </c>
      <c r="F40" s="90">
        <f>(résultats!F44-résultats!F161)/résultats!F162</f>
        <v>-0.25880665772294126</v>
      </c>
      <c r="G40" s="90">
        <f>(résultats!G44-résultats!G161)/résultats!G162</f>
        <v>-0.28222590615496407</v>
      </c>
      <c r="H40" s="90">
        <f>(résultats!H44-résultats!H161)/résultats!H162</f>
        <v>-0.36058597963129019</v>
      </c>
      <c r="I40" s="90">
        <f>(résultats!I44-résultats!I161)/résultats!I162</f>
        <v>-0.29440004330825631</v>
      </c>
      <c r="J40" s="90">
        <f>(résultats!J44-résultats!J161)/résultats!J162</f>
        <v>-0.41205305315020763</v>
      </c>
      <c r="K40" s="90">
        <f>(résultats!K44-résultats!K161)/résultats!K162</f>
        <v>0.15646359068341206</v>
      </c>
      <c r="L40" s="90">
        <f>(résultats!L44-résultats!L161)/résultats!L162</f>
        <v>0.31312473555171377</v>
      </c>
      <c r="M40" s="90">
        <f>(résultats!O44-résultats!O161)/résultats!O162</f>
        <v>-0.26317852682875437</v>
      </c>
      <c r="N40" s="90">
        <f>(résultats!P44-résultats!P161)/résultats!P162</f>
        <v>-0.27784338101739975</v>
      </c>
      <c r="O40" s="90">
        <f>(résultats!Q44-résultats!Q161)/résultats!Q162</f>
        <v>-0.30378298340613785</v>
      </c>
      <c r="P40" s="90">
        <f>(résultats!R44-résultats!R161)/résultats!R162</f>
        <v>-0.4153877539205425</v>
      </c>
      <c r="Q40" s="90">
        <f>(résultats!S44-résultats!S161)/résultats!S162</f>
        <v>0.14932676786999513</v>
      </c>
      <c r="R40" s="90">
        <f>(résultats!T44-résultats!T161)/résultats!T162</f>
        <v>-5.2684984159818246E-2</v>
      </c>
      <c r="S40" s="90">
        <f>(résultats!U44-résultats!U161)/résultats!U162</f>
        <v>-0.19697652558071374</v>
      </c>
      <c r="T40" s="90">
        <f>(résultats!V44-résultats!V161)/résultats!V162</f>
        <v>-0.12849024361888697</v>
      </c>
      <c r="U40" s="90">
        <f>(résultats!W44-résultats!W161)/résultats!W162</f>
        <v>-0.15030610293886276</v>
      </c>
      <c r="V40" s="90">
        <f>(résultats!X44-résultats!X161)/résultats!X162</f>
        <v>-3.7120840664707416E-2</v>
      </c>
      <c r="W40" s="90">
        <f>(résultats!Y44-résultats!Y161)/résultats!Y162</f>
        <v>2.9506190787886126E-2</v>
      </c>
      <c r="X40" s="90">
        <f>(résultats!Z44-résultats!Z161)/résultats!Z162</f>
        <v>-0.2563626880625523</v>
      </c>
      <c r="Y40" s="90">
        <f>(résultats!AA44-résultats!AA161)/résultats!AA162</f>
        <v>-0.51887478156195788</v>
      </c>
      <c r="Z40" s="90" t="s">
        <v>12</v>
      </c>
      <c r="AA40" s="90" t="s">
        <v>12</v>
      </c>
      <c r="AB40" s="90" t="s">
        <v>12</v>
      </c>
      <c r="AC40" s="34"/>
      <c r="AD40" s="34">
        <f t="shared" si="0"/>
        <v>-0.53689170376927575</v>
      </c>
      <c r="AE40" s="34"/>
      <c r="AF40" s="34"/>
      <c r="AG40" s="34"/>
      <c r="AH40" s="34"/>
      <c r="AI40" s="34"/>
      <c r="AJ40" s="34"/>
    </row>
    <row r="41" spans="1:36">
      <c r="A41" s="117"/>
      <c r="B41" s="119"/>
      <c r="C41" s="11" t="s">
        <v>25</v>
      </c>
      <c r="D41" s="41">
        <f t="shared" si="1"/>
        <v>22639</v>
      </c>
      <c r="E41" s="49">
        <f>(résultats!E45-résultats!E161)/résultats!E162</f>
        <v>-0.24892851068153105</v>
      </c>
      <c r="F41" s="49">
        <f>(résultats!F45-résultats!F161)/résultats!F162</f>
        <v>-0.56486496726887869</v>
      </c>
      <c r="G41" s="49">
        <f>(résultats!G45-résultats!G161)/résultats!G162</f>
        <v>-0.6314162601399117</v>
      </c>
      <c r="H41" s="49">
        <f>(résultats!H45-résultats!H161)/résultats!H162</f>
        <v>-0.6985741737615484</v>
      </c>
      <c r="I41" s="49">
        <f>(résultats!I45-résultats!I161)/résultats!I162</f>
        <v>-0.6741957202066986</v>
      </c>
      <c r="J41" s="49">
        <f>(résultats!J45-résultats!J161)/résultats!J162</f>
        <v>-0.78688179963523563</v>
      </c>
      <c r="K41" s="49">
        <f>(résultats!K45-résultats!K161)/résultats!K162</f>
        <v>0.45160913677279213</v>
      </c>
      <c r="L41" s="49">
        <f>(résultats!L45-résultats!L161)/résultats!L162</f>
        <v>0.56156994371952229</v>
      </c>
      <c r="M41" s="49">
        <f>(résultats!O45-résultats!O161)/résultats!O162</f>
        <v>-0.51516479174041641</v>
      </c>
      <c r="N41" s="49">
        <f>(résultats!P45-résultats!P161)/résultats!P162</f>
        <v>-0.60575919207789064</v>
      </c>
      <c r="O41" s="49">
        <f>(résultats!Q45-résultats!Q161)/résultats!Q162</f>
        <v>-0.68851385766047823</v>
      </c>
      <c r="P41" s="49">
        <f>(résultats!R45-résultats!R161)/résultats!R162</f>
        <v>-0.786074277303762</v>
      </c>
      <c r="Q41" s="49">
        <f>(résultats!S45-résultats!S161)/résultats!S162</f>
        <v>0.20653586205132413</v>
      </c>
      <c r="R41" s="49">
        <f>(résultats!T45-résultats!T161)/résultats!T162</f>
        <v>0.15588160320406136</v>
      </c>
      <c r="S41" s="49">
        <f>(résultats!U45-résultats!U161)/résultats!U162</f>
        <v>-0.74843037126907386</v>
      </c>
      <c r="T41" s="49">
        <f>(résultats!V45-résultats!V161)/résultats!V162</f>
        <v>-0.68180336789451423</v>
      </c>
      <c r="U41" s="49">
        <f>(résultats!W45-résultats!W161)/résultats!W162</f>
        <v>-0.1774416994095411</v>
      </c>
      <c r="V41" s="49">
        <f>(résultats!X45-résultats!X161)/résultats!X162</f>
        <v>-0.11815525314668374</v>
      </c>
      <c r="W41" s="49">
        <f>(résultats!Y45-résultats!Y161)/résultats!Y162</f>
        <v>-5.546455524138684E-2</v>
      </c>
      <c r="X41" s="49">
        <f>(résultats!Z45-résultats!Z161)/résultats!Z162</f>
        <v>-0.18963565799134494</v>
      </c>
      <c r="Y41" s="49">
        <f>(résultats!AA45-résultats!AA161)/résultats!AA162</f>
        <v>-0.82495376243292284</v>
      </c>
      <c r="Z41" s="49">
        <f>(résultats!AB45-résultats!AB161)/résultats!AB162</f>
        <v>-0.50801837336425004</v>
      </c>
      <c r="AA41" s="49">
        <f>(résultats!AC45-résultats!AC161)/résultats!AC162</f>
        <v>-0.16071421194615468</v>
      </c>
      <c r="AB41" s="49">
        <f>(résultats!AD45-résultats!AD161)/résultats!AD162</f>
        <v>-0.1097729315800168</v>
      </c>
      <c r="AC41" s="35"/>
      <c r="AD41" s="35">
        <f t="shared" si="0"/>
        <v>-1.2868367478006419</v>
      </c>
      <c r="AE41" s="35"/>
      <c r="AF41" s="35"/>
      <c r="AG41" s="35"/>
      <c r="AH41" s="35"/>
      <c r="AI41" s="35"/>
      <c r="AJ41" s="35"/>
    </row>
    <row r="42" spans="1:36">
      <c r="A42" s="117"/>
      <c r="B42" s="119"/>
      <c r="C42" s="8" t="s">
        <v>26</v>
      </c>
      <c r="D42" s="41">
        <f t="shared" si="1"/>
        <v>22639</v>
      </c>
      <c r="E42" s="91">
        <f>(résultats!E46-résultats!E161)/résultats!E162</f>
        <v>0.25299423659454334</v>
      </c>
      <c r="F42" s="91">
        <f>(résultats!F46-résultats!F161)/résultats!F162</f>
        <v>0.18018032282157359</v>
      </c>
      <c r="G42" s="91">
        <f>(résultats!G46-résultats!G161)/résultats!G162</f>
        <v>-0.19876189876274686</v>
      </c>
      <c r="H42" s="91">
        <f>(résultats!H46-résultats!H161)/résultats!H162</f>
        <v>-0.32617588305350942</v>
      </c>
      <c r="I42" s="91">
        <f>(résultats!I46-résultats!I161)/résultats!I162</f>
        <v>-0.16562715315465448</v>
      </c>
      <c r="J42" s="91">
        <f>(résultats!J46-résultats!J161)/résultats!J162</f>
        <v>-0.30434716028267361</v>
      </c>
      <c r="K42" s="91">
        <f>(résultats!K46-résultats!K161)/résultats!K162</f>
        <v>4.2619712992075982</v>
      </c>
      <c r="L42" s="91">
        <f>(résultats!L46-résultats!L161)/résultats!L162</f>
        <v>0.41468913665071389</v>
      </c>
      <c r="M42" s="91">
        <f>(résultats!O46-résultats!O161)/résultats!O162</f>
        <v>-0.19614312400406045</v>
      </c>
      <c r="N42" s="91">
        <f>(résultats!P46-résultats!P161)/résultats!P162</f>
        <v>-0.36675876622821352</v>
      </c>
      <c r="O42" s="91">
        <f>(résultats!Q46-résultats!Q161)/résultats!Q162</f>
        <v>-0.17946480601930428</v>
      </c>
      <c r="P42" s="91">
        <f>(résultats!R46-résultats!R161)/résultats!R162</f>
        <v>-0.31600401215713447</v>
      </c>
      <c r="Q42" s="91">
        <f>(résultats!S46-résultats!S161)/résultats!S162</f>
        <v>3.4908579507341692E-2</v>
      </c>
      <c r="R42" s="91">
        <f>(résultats!T46-résultats!T161)/résultats!T162</f>
        <v>0.15134754695701827</v>
      </c>
      <c r="S42" s="91">
        <f>(résultats!U46-résultats!U161)/résultats!U162</f>
        <v>-0.50514190993597385</v>
      </c>
      <c r="T42" s="91">
        <f>(résultats!V46-résultats!V161)/résultats!V162</f>
        <v>-0.27266338163436771</v>
      </c>
      <c r="U42" s="91">
        <f>(résultats!W46-résultats!W161)/résultats!W162</f>
        <v>7.6828360782637102</v>
      </c>
      <c r="V42" s="91">
        <f>(résultats!X46-résultats!X161)/résultats!X162</f>
        <v>-4.8697185304989746E-2</v>
      </c>
      <c r="W42" s="91">
        <f>(résultats!Y46-résultats!Y161)/résultats!Y162</f>
        <v>1.2512041582031324E-2</v>
      </c>
      <c r="X42" s="91">
        <f>(résultats!Z46-résultats!Z161)/résultats!Z162</f>
        <v>-0.20353615079890858</v>
      </c>
      <c r="Y42" s="91">
        <f>(résultats!AA46-résultats!AA161)/résultats!AA162</f>
        <v>-0.69061140431308743</v>
      </c>
      <c r="Z42" s="91" t="s">
        <v>12</v>
      </c>
      <c r="AA42" s="91" t="s">
        <v>12</v>
      </c>
      <c r="AB42" s="91" t="s">
        <v>12</v>
      </c>
      <c r="AC42" s="36"/>
      <c r="AD42" s="36">
        <f t="shared" si="0"/>
        <v>-0.69388681323239954</v>
      </c>
      <c r="AE42" s="36"/>
      <c r="AF42" s="36"/>
      <c r="AG42" s="36"/>
      <c r="AH42" s="36"/>
      <c r="AI42" s="36"/>
      <c r="AJ42" s="36"/>
    </row>
    <row r="43" spans="1:36">
      <c r="A43" s="117"/>
      <c r="B43" s="119"/>
      <c r="C43" s="19" t="s">
        <v>27</v>
      </c>
      <c r="D43" s="41">
        <f t="shared" si="1"/>
        <v>22639</v>
      </c>
      <c r="E43" s="50">
        <f>(résultats!E47-résultats!E161)/résultats!E162</f>
        <v>0.34770839871243747</v>
      </c>
      <c r="F43" s="50">
        <f>(résultats!F47-résultats!F161)/résultats!F162</f>
        <v>4.6493143001320666E-2</v>
      </c>
      <c r="G43" s="50">
        <f>(résultats!G47-résultats!G161)/résultats!G162</f>
        <v>-0.51316700675685689</v>
      </c>
      <c r="H43" s="50">
        <f>(résultats!H47-résultats!H161)/résultats!H162</f>
        <v>-0.5114134688225207</v>
      </c>
      <c r="I43" s="50">
        <f>(résultats!I47-résultats!I161)/résultats!I162</f>
        <v>-0.45893693264862484</v>
      </c>
      <c r="J43" s="50">
        <f>(résultats!J47-résultats!J161)/résultats!J162</f>
        <v>-0.46032181621797391</v>
      </c>
      <c r="K43" s="50">
        <f>(résultats!K47-résultats!K161)/résultats!K162</f>
        <v>0.10970457720183598</v>
      </c>
      <c r="L43" s="50">
        <f>(résultats!L47-résultats!L161)/résultats!L162</f>
        <v>0.29265285039868633</v>
      </c>
      <c r="M43" s="50">
        <f>(résultats!O47-résultats!O161)/résultats!O162</f>
        <v>-0.62231002007794722</v>
      </c>
      <c r="N43" s="50">
        <f>(résultats!P47-résultats!P161)/résultats!P162</f>
        <v>-0.57414196511613502</v>
      </c>
      <c r="O43" s="50">
        <f>(résultats!Q47-résultats!Q161)/résultats!Q162</f>
        <v>-0.46398567490910109</v>
      </c>
      <c r="P43" s="50">
        <f>(résultats!R47-résultats!R161)/résultats!R162</f>
        <v>-0.462187112915103</v>
      </c>
      <c r="Q43" s="50">
        <f>(résultats!S47-résultats!S161)/résultats!S162</f>
        <v>0.68645659657245628</v>
      </c>
      <c r="R43" s="50">
        <f>(résultats!T47-résultats!T161)/résultats!T162</f>
        <v>0.60928722790813961</v>
      </c>
      <c r="S43" s="50">
        <f>(résultats!U47-résultats!U161)/résultats!U162</f>
        <v>3.0092704996846607E-2</v>
      </c>
      <c r="T43" s="50">
        <f>(résultats!V47-résultats!V161)/résultats!V162</f>
        <v>-5.8351960260004748E-2</v>
      </c>
      <c r="U43" s="50">
        <f>(résultats!W47-résultats!W161)/résultats!W162</f>
        <v>-0.1222183802762303</v>
      </c>
      <c r="V43" s="50">
        <f>(résultats!X47-résultats!X161)/résultats!X162</f>
        <v>-0.19918966562865978</v>
      </c>
      <c r="W43" s="50">
        <f>(résultats!Y47-résultats!Y161)/résultats!Y162</f>
        <v>-0.1337854167988029</v>
      </c>
      <c r="X43" s="50">
        <f>(résultats!Z47-résultats!Z161)/résultats!Z162</f>
        <v>-0.28663590897566915</v>
      </c>
      <c r="Y43" s="50">
        <f>(résultats!AA47-résultats!AA161)/résultats!AA162</f>
        <v>-0.79863927991460448</v>
      </c>
      <c r="Z43" s="50" t="s">
        <v>12</v>
      </c>
      <c r="AA43" s="50" t="s">
        <v>12</v>
      </c>
      <c r="AB43" s="50" t="s">
        <v>12</v>
      </c>
      <c r="AC43" s="38"/>
      <c r="AD43" s="38">
        <f t="shared" si="0"/>
        <v>-1.3535807325578728</v>
      </c>
      <c r="AE43" s="38"/>
      <c r="AF43" s="38"/>
      <c r="AG43" s="38"/>
      <c r="AH43" s="38"/>
      <c r="AI43" s="38"/>
      <c r="AJ43" s="38"/>
    </row>
    <row r="44" spans="1:36">
      <c r="A44" s="117"/>
      <c r="B44" s="120"/>
      <c r="C44" s="21" t="s">
        <v>28</v>
      </c>
      <c r="D44" s="41">
        <f t="shared" si="1"/>
        <v>22639</v>
      </c>
      <c r="E44" s="92">
        <f>(résultats!E48-résultats!E161)/résultats!E162</f>
        <v>0.57888572861861054</v>
      </c>
      <c r="F44" s="92">
        <f>(résultats!F48-résultats!F161)/résultats!F162</f>
        <v>0.33681239449749945</v>
      </c>
      <c r="G44" s="92">
        <f>(résultats!G48-résultats!G161)/résultats!G162</f>
        <v>-0.41385410030372582</v>
      </c>
      <c r="H44" s="92">
        <f>(résultats!H48-résultats!H161)/résultats!H162</f>
        <v>-0.40323801550913779</v>
      </c>
      <c r="I44" s="92">
        <f>(résultats!I48-résultats!I161)/résultats!I162</f>
        <v>-0.32037955215147285</v>
      </c>
      <c r="J44" s="92">
        <f>(résultats!J48-résultats!J161)/résultats!J162</f>
        <v>-0.30755997810968783</v>
      </c>
      <c r="K44" s="92">
        <f>(résultats!K48-résultats!K161)/résultats!K162</f>
        <v>7.6542156292917093E-2</v>
      </c>
      <c r="L44" s="92">
        <f>(résultats!L48-résultats!L161)/résultats!L162</f>
        <v>0.21851680028141249</v>
      </c>
      <c r="M44" s="92">
        <f>(résultats!O48-résultats!O161)/résultats!O162</f>
        <v>-0.56270236271859286</v>
      </c>
      <c r="N44" s="92">
        <f>(résultats!P48-résultats!P161)/résultats!P162</f>
        <v>-0.5284582984040479</v>
      </c>
      <c r="O44" s="92">
        <f>(résultats!Q48-résultats!Q161)/résultats!Q162</f>
        <v>-0.32678017975919887</v>
      </c>
      <c r="P44" s="92">
        <f>(résultats!R48-résultats!R161)/résultats!R162</f>
        <v>-0.31110899204042952</v>
      </c>
      <c r="Q44" s="92">
        <f>(résultats!S48-résultats!S161)/résultats!S162</f>
        <v>0.67374346453215939</v>
      </c>
      <c r="R44" s="92">
        <f>(résultats!T48-résultats!T161)/résultats!T162</f>
        <v>0.67729807161374755</v>
      </c>
      <c r="S44" s="92">
        <f>(résultats!U48-résultats!U161)/résultats!U162</f>
        <v>-5.1003448780853881E-2</v>
      </c>
      <c r="T44" s="92">
        <f>(résultats!V48-résultats!V161)/résultats!V162</f>
        <v>-0.30773252331380885</v>
      </c>
      <c r="U44" s="92">
        <f>(résultats!W48-résultats!W161)/résultats!W162</f>
        <v>-0.12507475885209132</v>
      </c>
      <c r="V44" s="92">
        <f>(résultats!X48-résultats!X161)/résultats!X162</f>
        <v>-0.21076601026894212</v>
      </c>
      <c r="W44" s="92">
        <f>(résultats!Y48-résultats!Y161)/résultats!Y162</f>
        <v>-0.14265192942794472</v>
      </c>
      <c r="X44" s="92">
        <f>(résultats!Z48-résultats!Z161)/résultats!Z162</f>
        <v>-0.28539979132667437</v>
      </c>
      <c r="Y44" s="92">
        <f>(résultats!AA48-résultats!AA161)/résultats!AA162</f>
        <v>-1.1596555137624094</v>
      </c>
      <c r="Z44" s="92" t="s">
        <v>12</v>
      </c>
      <c r="AA44" s="92" t="s">
        <v>12</v>
      </c>
      <c r="AB44" s="92" t="s">
        <v>12</v>
      </c>
      <c r="AC44" s="37"/>
      <c r="AD44" s="37">
        <f t="shared" si="0"/>
        <v>-1.2447473261436577</v>
      </c>
      <c r="AE44" s="37"/>
      <c r="AF44" s="37"/>
      <c r="AG44" s="37"/>
      <c r="AH44" s="37"/>
      <c r="AI44" s="37"/>
      <c r="AJ44" s="37"/>
    </row>
    <row r="45" spans="1:36">
      <c r="A45" s="117"/>
      <c r="B45" s="118">
        <v>4</v>
      </c>
      <c r="C45" s="2" t="s">
        <v>16</v>
      </c>
      <c r="D45" s="41">
        <f>D31+11111+139</f>
        <v>33889</v>
      </c>
      <c r="E45" s="85">
        <f>(résultats!E49-résultats!E161)/résultats!E162</f>
        <v>-5.0464953875286905E-2</v>
      </c>
      <c r="F45" s="85">
        <f>(résultats!F49-résultats!F161)/résultats!F162</f>
        <v>-0.3234695347707503</v>
      </c>
      <c r="G45" s="85">
        <f>(résultats!G49-résultats!G161)/résultats!G162</f>
        <v>-0.51697485912863494</v>
      </c>
      <c r="H45" s="85">
        <f>(résultats!H49-résultats!H161)/résultats!H162</f>
        <v>-0.59156632851567548</v>
      </c>
      <c r="I45" s="85">
        <f>(résultats!I49-résultats!I161)/résultats!I162</f>
        <v>-0.53181451589712614</v>
      </c>
      <c r="J45" s="85">
        <f>(résultats!J49-résultats!J161)/résultats!J162</f>
        <v>-0.62103920323124806</v>
      </c>
      <c r="K45" s="85">
        <f>(résultats!K49-résultats!K161)/résultats!K162</f>
        <v>0.38793728862766741</v>
      </c>
      <c r="L45" s="85">
        <f>(résultats!L49-résultats!L161)/résultats!L162</f>
        <v>0.56852640954822109</v>
      </c>
      <c r="M45" s="85">
        <f>(résultats!O49-résultats!O161)/résultats!O162</f>
        <v>-0.44200149890681667</v>
      </c>
      <c r="N45" s="85">
        <f>(résultats!P49-résultats!P161)/résultats!P162</f>
        <v>-0.51452090855968247</v>
      </c>
      <c r="O45" s="85">
        <f>(résultats!Q49-résultats!Q161)/résultats!Q162</f>
        <v>-0.54630897199904194</v>
      </c>
      <c r="P45" s="85">
        <f>(résultats!R49-résultats!R161)/résultats!R162</f>
        <v>-0.62713445745377461</v>
      </c>
      <c r="Q45" s="85">
        <f>(résultats!S49-résultats!S161)/résultats!S162</f>
        <v>0.20971414506139946</v>
      </c>
      <c r="R45" s="85">
        <f>(résultats!T49-résultats!T161)/résultats!T162</f>
        <v>0.1332113219688523</v>
      </c>
      <c r="S45" s="85">
        <f>(résultats!U49-résultats!U161)/résultats!U162</f>
        <v>-0.72410152513576442</v>
      </c>
      <c r="T45" s="85">
        <f>(résultats!V49-résultats!V161)/résultats!V162</f>
        <v>-0.90780450316202432</v>
      </c>
      <c r="U45" s="85">
        <f>(résultats!W49-résultats!W161)/résultats!W162</f>
        <v>-0.17458532083368075</v>
      </c>
      <c r="V45" s="85">
        <f>(résultats!X49-résultats!X161)/résultats!X162</f>
        <v>-0.11815525314668374</v>
      </c>
      <c r="W45" s="85">
        <f>(résultats!Y49-résultats!Y161)/résultats!Y162</f>
        <v>-5.1031298926815925E-2</v>
      </c>
      <c r="X45" s="85">
        <f>(résultats!Z49-résultats!Z161)/résultats!Z162</f>
        <v>-0.28367389121298364</v>
      </c>
      <c r="Y45" s="85">
        <f>(résultats!AA49-résultats!AA161)/résultats!AA162</f>
        <v>-0.96345103884512417</v>
      </c>
      <c r="Z45" s="85" t="s">
        <v>12</v>
      </c>
      <c r="AA45" s="85" t="s">
        <v>12</v>
      </c>
      <c r="AB45" s="85" t="s">
        <v>12</v>
      </c>
      <c r="AC45" s="25"/>
      <c r="AD45" s="25">
        <f t="shared" si="0"/>
        <v>-1.0606517673049223</v>
      </c>
      <c r="AE45" s="25"/>
      <c r="AF45" s="25"/>
      <c r="AG45" s="25"/>
      <c r="AH45" s="25"/>
      <c r="AI45" s="25"/>
      <c r="AJ45" s="25"/>
    </row>
    <row r="46" spans="1:36">
      <c r="A46" s="117"/>
      <c r="B46" s="119"/>
      <c r="C46" s="1" t="s">
        <v>15</v>
      </c>
      <c r="D46" s="41">
        <f t="shared" ref="D46:D58" si="2">D32+11111+139</f>
        <v>33889</v>
      </c>
      <c r="E46" s="43">
        <f>(résultats!E50-résultats!E161)/résultats!E162</f>
        <v>-2.2424576932490184E-2</v>
      </c>
      <c r="F46" s="43">
        <f>(résultats!F50-résultats!F161)/résultats!F162</f>
        <v>-0.34963808911854416</v>
      </c>
      <c r="G46" s="43">
        <f>(résultats!G50-résultats!G161)/résultats!G162</f>
        <v>-0.35611882515325249</v>
      </c>
      <c r="H46" s="43">
        <f>(résultats!H50-résultats!H161)/résultats!H162</f>
        <v>-0.40049070240911555</v>
      </c>
      <c r="I46" s="43">
        <f>(résultats!I50-résultats!I161)/résultats!I162</f>
        <v>-0.37998621746274691</v>
      </c>
      <c r="J46" s="43">
        <f>(résultats!J50-résultats!J161)/résultats!J162</f>
        <v>-0.47018975668666113</v>
      </c>
      <c r="K46" s="43">
        <f>(résultats!K50-résultats!K161)/résultats!K162</f>
        <v>0.18233027899236876</v>
      </c>
      <c r="L46" s="43">
        <f>(résultats!L50-résultats!L161)/résultats!L162</f>
        <v>0.34691328386253578</v>
      </c>
      <c r="M46" s="43">
        <f>(résultats!O50-résultats!O161)/résultats!O162</f>
        <v>-0.33151378510988322</v>
      </c>
      <c r="N46" s="43">
        <f>(résultats!P50-résultats!P161)/résultats!P162</f>
        <v>-0.30507291117629903</v>
      </c>
      <c r="O46" s="43">
        <f>(résultats!Q50-résultats!Q161)/résultats!Q162</f>
        <v>-0.38866152453530778</v>
      </c>
      <c r="P46" s="43">
        <f>(résultats!R50-résultats!R161)/résultats!R162</f>
        <v>-0.47820717875159247</v>
      </c>
      <c r="Q46" s="43">
        <f>(résultats!S50-résultats!S161)/résultats!S162</f>
        <v>-5.9053023663204254</v>
      </c>
      <c r="R46" s="43">
        <f>(résultats!T50-résultats!T161)/résultats!T162</f>
        <v>-3.0014702924615621E-2</v>
      </c>
      <c r="S46" s="43">
        <f>(résultats!U50-résultats!U161)/résultats!U162</f>
        <v>-0.19697652558071374</v>
      </c>
      <c r="T46" s="43">
        <f>(résultats!V50-résultats!V161)/résultats!V162</f>
        <v>-0.43631937613842647</v>
      </c>
      <c r="U46" s="43">
        <f>(résultats!W50-résultats!W161)/résultats!W162</f>
        <v>-0.14935397674690931</v>
      </c>
      <c r="V46" s="43">
        <f>(résultats!X50-résultats!X161)/résultats!X162</f>
        <v>-4.8697185304989746E-2</v>
      </c>
      <c r="W46" s="43">
        <f>(résultats!Y50-résultats!Y161)/résultats!Y162</f>
        <v>1.1773165529603015E-2</v>
      </c>
      <c r="X46" s="43">
        <f>(résultats!Z50-résultats!Z161)/résultats!Z162</f>
        <v>-0.23035757148464381</v>
      </c>
      <c r="Y46" s="43">
        <f>(résultats!AA50-résultats!AA161)/résultats!AA162</f>
        <v>-0.70030621366194157</v>
      </c>
      <c r="Z46" s="43" t="s">
        <v>12</v>
      </c>
      <c r="AA46" s="43" t="s">
        <v>12</v>
      </c>
      <c r="AB46" s="43" t="s">
        <v>12</v>
      </c>
      <c r="AC46" s="26"/>
      <c r="AD46" s="26">
        <f t="shared" si="0"/>
        <v>-0.62946711106377307</v>
      </c>
      <c r="AE46" s="26"/>
      <c r="AF46" s="26"/>
      <c r="AG46" s="26"/>
      <c r="AH46" s="26"/>
      <c r="AI46" s="26"/>
      <c r="AJ46" s="26"/>
    </row>
    <row r="47" spans="1:36">
      <c r="A47" s="117"/>
      <c r="B47" s="119"/>
      <c r="C47" s="5" t="s">
        <v>14</v>
      </c>
      <c r="D47" s="41">
        <f t="shared" si="2"/>
        <v>33889</v>
      </c>
      <c r="E47" s="44">
        <f>(résultats!E51-résultats!E161)/résultats!E162</f>
        <v>-2.6163293858194877E-2</v>
      </c>
      <c r="F47" s="44">
        <f>(résultats!F51-résultats!F161)/résultats!F162</f>
        <v>-0.37485850743924487</v>
      </c>
      <c r="G47" s="44">
        <f>(résultats!G51-résultats!G161)/résultats!G162</f>
        <v>-0.88468990032763828</v>
      </c>
      <c r="H47" s="44">
        <f>(résultats!H51-résultats!H161)/résultats!H162</f>
        <v>-1.588085472721309</v>
      </c>
      <c r="I47" s="44">
        <f>(résultats!I51-résultats!I161)/résultats!I162</f>
        <v>-0.87146004276514322</v>
      </c>
      <c r="J47" s="44">
        <f>(résultats!J51-résultats!J161)/résultats!J162</f>
        <v>-0.9183778435551877</v>
      </c>
      <c r="K47" s="44">
        <f>(résultats!K51-résultats!K161)/résultats!K162</f>
        <v>0.3793150591913485</v>
      </c>
      <c r="L47" s="44">
        <f>(résultats!L51-résultats!L161)/résultats!L162</f>
        <v>0.57508536304385116</v>
      </c>
      <c r="M47" s="44">
        <f>(résultats!O51-résultats!O161)/résultats!O162</f>
        <v>-0.89100871228662448</v>
      </c>
      <c r="N47" s="44">
        <f>(résultats!P51-résultats!P161)/résultats!P162</f>
        <v>-0.87482824601772657</v>
      </c>
      <c r="O47" s="44">
        <f>(résultats!Q51-résultats!Q161)/résultats!Q162</f>
        <v>-0.87949057520111096</v>
      </c>
      <c r="P47" s="44">
        <f>(résultats!R51-résultats!R161)/résultats!R162</f>
        <v>-0.91000728662216157</v>
      </c>
      <c r="Q47" s="44">
        <f>(résultats!S51-résultats!S161)/résultats!S162</f>
        <v>0.83901418105599113</v>
      </c>
      <c r="R47" s="44">
        <f>(résultats!T51-résultats!T161)/résultats!T162</f>
        <v>0.76797919655456448</v>
      </c>
      <c r="S47" s="44">
        <f>(résultats!U51-résultats!U161)/résultats!U162</f>
        <v>-0.26185344860287385</v>
      </c>
      <c r="T47" s="44">
        <f>(résultats!V51-résultats!V161)/résultats!V162</f>
        <v>-0.49476794560416187</v>
      </c>
      <c r="U47" s="44">
        <f>(résultats!W51-résultats!W161)/résultats!W162</f>
        <v>-0.14268909340323382</v>
      </c>
      <c r="V47" s="44">
        <f>(résultats!X51-résultats!X161)/résultats!X162</f>
        <v>-0.2802240781106361</v>
      </c>
      <c r="W47" s="44">
        <f>(résultats!Y51-résultats!Y161)/résultats!Y162</f>
        <v>-0.2209727909853608</v>
      </c>
      <c r="X47" s="44">
        <f>(résultats!Z51-résultats!Z161)/résultats!Z162</f>
        <v>-0.27163923636616671</v>
      </c>
      <c r="Y47" s="44">
        <f>(résultats!AA51-résultats!AA161)/résultats!AA162</f>
        <v>-1.0119250855893946</v>
      </c>
      <c r="Z47" s="44">
        <f>(résultats!AB51-résultats!AB161)/résultats!AB162</f>
        <v>-2.1728485220427078</v>
      </c>
      <c r="AA47" s="44">
        <f>(résultats!AC51-résultats!AC161)/résultats!AC162</f>
        <v>-0.16687024490355518</v>
      </c>
      <c r="AB47" s="44">
        <f>(résultats!AD51-résultats!AD161)/résultats!AD162</f>
        <v>5.5156768660052036</v>
      </c>
      <c r="AC47" s="27"/>
      <c r="AD47" s="27">
        <f t="shared" si="0"/>
        <v>-2.1034079501973242</v>
      </c>
      <c r="AE47" s="27"/>
      <c r="AF47" s="27"/>
      <c r="AG47" s="27"/>
      <c r="AH47" s="27"/>
      <c r="AI47" s="27"/>
      <c r="AJ47" s="27"/>
    </row>
    <row r="48" spans="1:36">
      <c r="A48" s="117"/>
      <c r="B48" s="119"/>
      <c r="C48" s="12" t="s">
        <v>11</v>
      </c>
      <c r="D48" s="41">
        <f t="shared" si="2"/>
        <v>33889</v>
      </c>
      <c r="E48" s="45">
        <f>(résultats!E52-résultats!E161)/résultats!E162</f>
        <v>2.462094438264921E-2</v>
      </c>
      <c r="F48" s="45">
        <f>(résultats!F52-résultats!F161)/résultats!F162</f>
        <v>-0.37277260817963787</v>
      </c>
      <c r="G48" s="45">
        <f>(résultats!G52-résultats!G161)/résultats!G162</f>
        <v>-0.80781244838930732</v>
      </c>
      <c r="H48" s="45">
        <f>(résultats!H52-résultats!H161)/résultats!H162</f>
        <v>-0.83332988131764829</v>
      </c>
      <c r="I48" s="45">
        <f>(résultats!I52-résultats!I161)/résultats!I162</f>
        <v>-0.79295918920425701</v>
      </c>
      <c r="J48" s="45">
        <f>(résultats!J52-résultats!J161)/résultats!J162</f>
        <v>-0.85809926146739135</v>
      </c>
      <c r="K48" s="45">
        <f>(résultats!K52-résultats!K161)/résultats!K162</f>
        <v>0.18962601159233117</v>
      </c>
      <c r="L48" s="45">
        <f>(résultats!L52-résultats!L161)/résultats!L162</f>
        <v>0.44231624379897422</v>
      </c>
      <c r="M48" s="45">
        <f>(résultats!O52-résultats!O161)/résultats!O162</f>
        <v>-0.87968140045198062</v>
      </c>
      <c r="N48" s="45">
        <f>(résultats!P52-résultats!P161)/résultats!P162</f>
        <v>-0.84398531849176917</v>
      </c>
      <c r="O48" s="45">
        <f>(résultats!Q52-résultats!Q161)/résultats!Q162</f>
        <v>-0.79483422920578739</v>
      </c>
      <c r="P48" s="45">
        <f>(résultats!R52-résultats!R161)/résultats!R162</f>
        <v>-0.84815203242015957</v>
      </c>
      <c r="Q48" s="45">
        <f>(résultats!S52-résultats!S161)/résultats!S162</f>
        <v>0.93436267135820161</v>
      </c>
      <c r="R48" s="45">
        <f>(résultats!T52-résultats!T161)/résultats!T162</f>
        <v>0.8314559840131357</v>
      </c>
      <c r="S48" s="45">
        <f>(résultats!U52-résultats!U161)/résultats!U162</f>
        <v>0.24094270481886657</v>
      </c>
      <c r="T48" s="45">
        <f>(résultats!V52-résultats!V161)/résultats!V162</f>
        <v>-0.23369766865721101</v>
      </c>
      <c r="U48" s="45">
        <f>(résultats!W52-résultats!W161)/résultats!W162</f>
        <v>-0.11031680287680984</v>
      </c>
      <c r="V48" s="45">
        <f>(résultats!X52-résultats!X161)/résultats!X162</f>
        <v>-0.25707138883007141</v>
      </c>
      <c r="W48" s="45">
        <f>(résultats!Y52-résultats!Y161)/résultats!Y162</f>
        <v>-0.19289550099307978</v>
      </c>
      <c r="X48" s="45">
        <f>(résultats!Z52-résultats!Z161)/résultats!Z162</f>
        <v>-0.26231004656243273</v>
      </c>
      <c r="Y48" s="45">
        <f>(résultats!AA52-résultats!AA161)/résultats!AA162</f>
        <v>-0.97176087542985623</v>
      </c>
      <c r="Z48" s="45" t="s">
        <v>12</v>
      </c>
      <c r="AA48" s="45" t="s">
        <v>12</v>
      </c>
      <c r="AB48" s="45" t="s">
        <v>12</v>
      </c>
      <c r="AC48" s="28"/>
      <c r="AD48" s="28">
        <f t="shared" si="0"/>
        <v>-2.0764618262717542</v>
      </c>
      <c r="AE48" s="28"/>
      <c r="AF48" s="28"/>
      <c r="AG48" s="28"/>
      <c r="AH48" s="28"/>
      <c r="AI48" s="28"/>
      <c r="AJ48" s="28"/>
    </row>
    <row r="49" spans="1:36">
      <c r="A49" s="117"/>
      <c r="B49" s="119"/>
      <c r="C49" s="3" t="s">
        <v>8</v>
      </c>
      <c r="D49" s="41">
        <f t="shared" si="2"/>
        <v>33889</v>
      </c>
      <c r="E49" s="88">
        <f>(résultats!E53-résultats!E161)/résultats!E162</f>
        <v>5.702315773876955E-2</v>
      </c>
      <c r="F49" s="88">
        <f>(résultats!F53-résultats!F161)/résultats!F162</f>
        <v>2.9237067308210778E-2</v>
      </c>
      <c r="G49" s="88">
        <f>(résultats!G53-résultats!G161)/résultats!G162</f>
        <v>-0.30383804123802916</v>
      </c>
      <c r="H49" s="88">
        <f>(résultats!H53-résultats!H161)/résultats!H162</f>
        <v>-0.38998222980152997</v>
      </c>
      <c r="I49" s="88">
        <f>(résultats!I53-résultats!I161)/résultats!I162</f>
        <v>-0.29934852118315519</v>
      </c>
      <c r="J49" s="88">
        <f>(résultats!J53-résultats!J161)/résultats!J162</f>
        <v>-0.37449368283915713</v>
      </c>
      <c r="K49" s="88">
        <f>(résultats!K53-résultats!K161)/résultats!K162</f>
        <v>-6.8045998869970717E-2</v>
      </c>
      <c r="L49" s="88">
        <f>(résultats!L53-résultats!L161)/résultats!L162</f>
        <v>0.17995810397376838</v>
      </c>
      <c r="M49" s="88">
        <f>(résultats!O53-résultats!O161)/résultats!O162</f>
        <v>-0.37812288790489201</v>
      </c>
      <c r="N49" s="88">
        <f>(résultats!P53-résultats!P161)/résultats!P162</f>
        <v>-0.51245611006422054</v>
      </c>
      <c r="O49" s="88">
        <f>(résultats!Q53-résultats!Q161)/résultats!Q162</f>
        <v>-0.3003389588315255</v>
      </c>
      <c r="P49" s="88">
        <f>(résultats!R53-résultats!R161)/résultats!R162</f>
        <v>-0.37081340406993935</v>
      </c>
      <c r="Q49" s="88">
        <f>(résultats!S53-résultats!S161)/résultats!S162</f>
        <v>0.29234950332331305</v>
      </c>
      <c r="R49" s="88">
        <f>(résultats!T53-résultats!T161)/résultats!T162</f>
        <v>0.79064947778976702</v>
      </c>
      <c r="S49" s="88">
        <f>(résultats!U53-résultats!U161)/résultats!U162</f>
        <v>0.45990232001865639</v>
      </c>
      <c r="T49" s="88">
        <f>(résultats!V53-résultats!V161)/résultats!V162</f>
        <v>0.34689145470242616</v>
      </c>
      <c r="U49" s="88">
        <f>(résultats!W53-résultats!W161)/résultats!W162</f>
        <v>-0.10841255049290295</v>
      </c>
      <c r="V49" s="88">
        <f>(résultats!X53-résultats!X161)/résultats!X162</f>
        <v>-4.8697185304989746E-2</v>
      </c>
      <c r="W49" s="88">
        <f>(résultats!Y53-résultats!Y161)/résultats!Y162</f>
        <v>1.9161926053887689E-2</v>
      </c>
      <c r="X49" s="88">
        <f>(résultats!Z53-résultats!Z161)/résultats!Z162</f>
        <v>-0.13890818843354133</v>
      </c>
      <c r="Y49" s="88">
        <f>(résultats!AA53-résultats!AA161)/résultats!AA162</f>
        <v>0.11174948370159918</v>
      </c>
      <c r="Z49" s="88" t="s">
        <v>12</v>
      </c>
      <c r="AA49" s="88" t="s">
        <v>12</v>
      </c>
      <c r="AB49" s="88" t="s">
        <v>12</v>
      </c>
      <c r="AC49" s="29"/>
      <c r="AD49" s="29">
        <f t="shared" si="0"/>
        <v>-1.3689390840946076</v>
      </c>
      <c r="AE49" s="29"/>
      <c r="AF49" s="29"/>
      <c r="AG49" s="29"/>
      <c r="AH49" s="29"/>
      <c r="AI49" s="29"/>
      <c r="AJ49" s="29"/>
    </row>
    <row r="50" spans="1:36">
      <c r="A50" s="117"/>
      <c r="B50" s="119"/>
      <c r="C50" s="9" t="s">
        <v>7</v>
      </c>
      <c r="D50" s="41">
        <f t="shared" si="2"/>
        <v>33889</v>
      </c>
      <c r="E50" s="46">
        <f>(résultats!E54-résultats!E161)/résultats!E162</f>
        <v>6.6993069540652872E-2</v>
      </c>
      <c r="F50" s="46">
        <f>(résultats!F54-résultats!F161)/résultats!F162</f>
        <v>-0.1912993725938496</v>
      </c>
      <c r="G50" s="46">
        <f>(résultats!G54-résultats!G161)/résultats!G162</f>
        <v>-0.22840139830523573</v>
      </c>
      <c r="H50" s="46">
        <f>(résultats!H54-résultats!H161)/résultats!H162</f>
        <v>-0.30715073983585345</v>
      </c>
      <c r="I50" s="46">
        <f>(résultats!I54-résultats!I161)/résultats!I162</f>
        <v>-0.23738008234067928</v>
      </c>
      <c r="J50" s="46">
        <f>(résultats!J54-résultats!J161)/résultats!J162</f>
        <v>-0.35621121949019358</v>
      </c>
      <c r="K50" s="46">
        <f>(résultats!K54-résultats!K161)/résultats!K162</f>
        <v>-3.1235711661070042E-2</v>
      </c>
      <c r="L50" s="46">
        <f>(résultats!L54-résultats!L161)/résultats!L162</f>
        <v>0.16366009831796027</v>
      </c>
      <c r="M50" s="46">
        <f>(résultats!O54-résultats!O161)/résultats!O162</f>
        <v>-0.27599138775646598</v>
      </c>
      <c r="N50" s="46">
        <f>(résultats!P54-résultats!P161)/résultats!P162</f>
        <v>-0.29720086691235198</v>
      </c>
      <c r="O50" s="46">
        <f>(résultats!Q54-résultats!Q161)/résultats!Q162</f>
        <v>-0.24067956539387581</v>
      </c>
      <c r="P50" s="46">
        <f>(résultats!R54-résultats!R161)/résultats!R162</f>
        <v>-0.3550158391478454</v>
      </c>
      <c r="Q50" s="46">
        <f>(résultats!S54-résultats!S161)/résultats!S162</f>
        <v>0.17475303195058428</v>
      </c>
      <c r="R50" s="46">
        <f>(résultats!T54-résultats!T161)/résultats!T162</f>
        <v>4.706425327507846E-2</v>
      </c>
      <c r="S50" s="46">
        <f>(résultats!U54-résultats!U161)/résultats!U162</f>
        <v>0.1192984741523162</v>
      </c>
      <c r="T50" s="46">
        <f>(résultats!V54-résultats!V161)/résultats!V162</f>
        <v>-0.11290395842802456</v>
      </c>
      <c r="U50" s="46">
        <f>(résultats!W54-résultats!W161)/résultats!W162</f>
        <v>-0.12174231718025393</v>
      </c>
      <c r="V50" s="46">
        <f>(résultats!X54-résultats!X161)/résultats!X162</f>
        <v>-1.3968151384142756E-2</v>
      </c>
      <c r="W50" s="46">
        <f>(résultats!Y54-résultats!Y161)/résultats!Y162</f>
        <v>4.5022587888883782E-2</v>
      </c>
      <c r="X50" s="46">
        <f>(résultats!Z54-résultats!Z161)/résultats!Z162</f>
        <v>-0.22256769799852591</v>
      </c>
      <c r="Y50" s="46">
        <f>(résultats!AA54-résultats!AA161)/résultats!AA162</f>
        <v>-0.35175473469123497</v>
      </c>
      <c r="Z50" s="46" t="s">
        <v>12</v>
      </c>
      <c r="AA50" s="46" t="s">
        <v>12</v>
      </c>
      <c r="AB50" s="46" t="s">
        <v>12</v>
      </c>
      <c r="AC50" s="30"/>
      <c r="AD50" s="30">
        <f t="shared" si="0"/>
        <v>-0.58319533877956742</v>
      </c>
      <c r="AE50" s="30"/>
      <c r="AF50" s="30"/>
      <c r="AG50" s="30"/>
      <c r="AH50" s="30"/>
      <c r="AI50" s="30"/>
      <c r="AJ50" s="30"/>
    </row>
    <row r="51" spans="1:36">
      <c r="A51" s="117"/>
      <c r="B51" s="119"/>
      <c r="C51" s="7" t="s">
        <v>18</v>
      </c>
      <c r="D51" s="41">
        <f t="shared" si="2"/>
        <v>33889</v>
      </c>
      <c r="E51" s="47">
        <f>(résultats!E55-résultats!E161)/résultats!E162</f>
        <v>0.22183826221365729</v>
      </c>
      <c r="F51" s="47">
        <f>(résultats!F55-résultats!F161)/résultats!F162</f>
        <v>-3.8839099437136732E-2</v>
      </c>
      <c r="G51" s="47">
        <f>(résultats!G55-résultats!G161)/résultats!G162</f>
        <v>-0.3339921154253524</v>
      </c>
      <c r="H51" s="47">
        <f>(résultats!H55-résultats!H161)/résultats!H162</f>
        <v>-0.35969310287378292</v>
      </c>
      <c r="I51" s="47">
        <f>(résultats!I55-résultats!I161)/résultats!I162</f>
        <v>-0.31194464668289629</v>
      </c>
      <c r="J51" s="47">
        <f>(résultats!J55-résultats!J161)/résultats!J162</f>
        <v>-0.33938217372964097</v>
      </c>
      <c r="K51" s="47">
        <f>(résultats!K55-résultats!K161)/résultats!K162</f>
        <v>0.24069613979206658</v>
      </c>
      <c r="L51" s="47">
        <f>(résultats!L55-résultats!L161)/résultats!L162</f>
        <v>0.36519885118368656</v>
      </c>
      <c r="M51" s="47">
        <f>(résultats!O55-résultats!O161)/résultats!O162</f>
        <v>-0.33299933420295091</v>
      </c>
      <c r="N51" s="47">
        <f>(résultats!P55-résultats!P161)/résultats!P162</f>
        <v>-0.28365062678588526</v>
      </c>
      <c r="O51" s="47">
        <f>(résultats!Q55-résultats!Q161)/résultats!Q162</f>
        <v>-0.32433603328689264</v>
      </c>
      <c r="P51" s="47">
        <f>(résultats!R55-résultats!R161)/résultats!R162</f>
        <v>-0.3564991785771503</v>
      </c>
      <c r="Q51" s="47">
        <f>(résultats!S55-résultats!S161)/résultats!S162</f>
        <v>0.22878384312183794</v>
      </c>
      <c r="R51" s="47">
        <f>(résultats!T55-résultats!T161)/résultats!T162</f>
        <v>2.4393972039875832E-2</v>
      </c>
      <c r="S51" s="47">
        <f>(résultats!U55-résultats!U161)/résultats!U162</f>
        <v>-0.48081306380266364</v>
      </c>
      <c r="T51" s="47">
        <f>(résultats!V55-résultats!V161)/résultats!V162</f>
        <v>-0.58438908545162216</v>
      </c>
      <c r="U51" s="47">
        <f>(résultats!W55-résultats!W161)/résultats!W162</f>
        <v>-0.16173161724230617</v>
      </c>
      <c r="V51" s="47">
        <f>(résultats!X55-résultats!X161)/résultats!X162</f>
        <v>-0.10657890850640139</v>
      </c>
      <c r="W51" s="47">
        <f>(résultats!Y55-résultats!Y161)/résultats!Y162</f>
        <v>-3.4776025773389958E-2</v>
      </c>
      <c r="X51" s="47">
        <f>(résultats!Z55-résultats!Z161)/résultats!Z162</f>
        <v>-0.24619387117648228</v>
      </c>
      <c r="Y51" s="47">
        <f>(résultats!AA55-résultats!AA161)/résultats!AA162</f>
        <v>-0.45932095270471129</v>
      </c>
      <c r="Z51" s="47" t="s">
        <v>12</v>
      </c>
      <c r="AA51" s="47" t="s">
        <v>12</v>
      </c>
      <c r="AB51" s="47" t="s">
        <v>12</v>
      </c>
      <c r="AC51" s="31"/>
      <c r="AD51" s="31">
        <f t="shared" si="0"/>
        <v>-0.55479496747105317</v>
      </c>
      <c r="AE51" s="31"/>
      <c r="AF51" s="31"/>
      <c r="AG51" s="31"/>
      <c r="AH51" s="31"/>
      <c r="AI51" s="31"/>
      <c r="AJ51" s="31"/>
    </row>
    <row r="52" spans="1:36">
      <c r="A52" s="117"/>
      <c r="B52" s="119"/>
      <c r="C52" s="6" t="s">
        <v>19</v>
      </c>
      <c r="D52" s="41">
        <f t="shared" si="2"/>
        <v>33889</v>
      </c>
      <c r="E52" s="89">
        <f>(résultats!E56-résultats!E161)/résultats!E162</f>
        <v>0.20345623732893353</v>
      </c>
      <c r="F52" s="89">
        <f>(résultats!F56-résultats!F161)/résultats!F162</f>
        <v>5.1044195931371959E-2</v>
      </c>
      <c r="G52" s="89">
        <f>(résultats!G56-résultats!G161)/résultats!G162</f>
        <v>-0.43793619368199782</v>
      </c>
      <c r="H52" s="89">
        <f>(résultats!H56-résultats!H161)/résultats!H162</f>
        <v>-0.52954573528266868</v>
      </c>
      <c r="I52" s="89">
        <f>(résultats!I56-résultats!I161)/résultats!I162</f>
        <v>-0.40270422952478091</v>
      </c>
      <c r="J52" s="89">
        <f>(résultats!J56-résultats!J161)/résultats!J162</f>
        <v>-0.47653889667814253</v>
      </c>
      <c r="K52" s="89">
        <f>(résultats!K56-résultats!K161)/résultats!K162</f>
        <v>0.49770490183618976</v>
      </c>
      <c r="L52" s="89">
        <f>(résultats!L56-résultats!L161)/résultats!L162</f>
        <v>0.62378062384474176</v>
      </c>
      <c r="M52" s="89">
        <f>(résultats!O56-résultats!O161)/résultats!O162</f>
        <v>-0.35825366878510745</v>
      </c>
      <c r="N52" s="89">
        <f>(résultats!P56-résultats!P161)/résultats!P162</f>
        <v>-0.49838967031388892</v>
      </c>
      <c r="O52" s="89">
        <f>(résultats!Q56-résultats!Q161)/résultats!Q162</f>
        <v>-0.42376835568297594</v>
      </c>
      <c r="P52" s="89">
        <f>(résultats!R56-résultats!R161)/résultats!R162</f>
        <v>-0.48777471807060685</v>
      </c>
      <c r="Q52" s="89">
        <f>(résultats!S56-résultats!S161)/résultats!S162</f>
        <v>3.8086862517417025E-2</v>
      </c>
      <c r="R52" s="89">
        <f>(résultats!T56-résultats!T161)/résultats!T162</f>
        <v>0.53220827170844553</v>
      </c>
      <c r="S52" s="89">
        <f>(résultats!U56-résultats!U161)/résultats!U162</f>
        <v>-1.1782399862908843</v>
      </c>
      <c r="T52" s="89">
        <f>(résultats!V56-résultats!V161)/résultats!V162</f>
        <v>-1.0402879272843575</v>
      </c>
      <c r="U52" s="89">
        <f>(résultats!W56-résultats!W161)/résultats!W162</f>
        <v>-0.20076879111240564</v>
      </c>
      <c r="V52" s="89">
        <f>(résultats!X56-résultats!X161)/résultats!X162</f>
        <v>-0.14130794242724815</v>
      </c>
      <c r="W52" s="89">
        <f>(résultats!Y56-résultats!Y161)/résultats!Y162</f>
        <v>-7.6891960761812025E-2</v>
      </c>
      <c r="X52" s="89">
        <f>(résultats!Z56-résultats!Z161)/résultats!Z162</f>
        <v>-0.20493552926946867</v>
      </c>
      <c r="Y52" s="89">
        <f>(résultats!AA56-résultats!AA161)/résultats!AA162</f>
        <v>-0.19802275787369122</v>
      </c>
      <c r="Z52" s="89" t="s">
        <v>12</v>
      </c>
      <c r="AA52" s="89" t="s">
        <v>12</v>
      </c>
      <c r="AB52" s="89" t="s">
        <v>12</v>
      </c>
      <c r="AC52" s="32"/>
      <c r="AD52" s="32">
        <f t="shared" si="0"/>
        <v>-1.2480680117089513</v>
      </c>
      <c r="AE52" s="32"/>
      <c r="AF52" s="32"/>
      <c r="AG52" s="32"/>
      <c r="AH52" s="32"/>
      <c r="AI52" s="32"/>
      <c r="AJ52" s="32"/>
    </row>
    <row r="53" spans="1:36">
      <c r="A53" s="117"/>
      <c r="B53" s="119"/>
      <c r="C53" s="4" t="s">
        <v>23</v>
      </c>
      <c r="D53" s="41">
        <f t="shared" si="2"/>
        <v>33889</v>
      </c>
      <c r="E53" s="48">
        <f>(résultats!E57-résultats!E161)/résultats!E162</f>
        <v>0.36702510282858519</v>
      </c>
      <c r="F53" s="48">
        <f>(résultats!F57-résultats!F161)/résultats!F162</f>
        <v>0.27082212701175784</v>
      </c>
      <c r="G53" s="48">
        <f>(résultats!G57-résultats!G161)/résultats!G162</f>
        <v>-0.33141924220117802</v>
      </c>
      <c r="H53" s="48">
        <f>(résultats!H57-résultats!H161)/résultats!H162</f>
        <v>-0.36491299776382546</v>
      </c>
      <c r="I53" s="48">
        <f>(résultats!I57-résultats!I161)/résultats!I162</f>
        <v>-0.27606818208988321</v>
      </c>
      <c r="J53" s="48">
        <f>(résultats!J57-résultats!J161)/résultats!J162</f>
        <v>-0.28491726199549083</v>
      </c>
      <c r="K53" s="48">
        <f>(résultats!K57-résultats!K161)/résultats!K162</f>
        <v>0.19924311365591768</v>
      </c>
      <c r="L53" s="48">
        <f>(résultats!L57-résultats!L161)/résultats!L162</f>
        <v>0.29046653256680965</v>
      </c>
      <c r="M53" s="48">
        <f>(résultats!O57-résultats!O161)/résultats!O162</f>
        <v>-0.37496609608212272</v>
      </c>
      <c r="N53" s="48">
        <f>(résultats!P57-résultats!P161)/résultats!P162</f>
        <v>-0.31088015694478494</v>
      </c>
      <c r="O53" s="48">
        <f>(résultats!Q57-résultats!Q161)/résultats!Q162</f>
        <v>-0.28678505566691953</v>
      </c>
      <c r="P53" s="48">
        <f>(résultats!R57-résultats!R161)/résultats!R162</f>
        <v>-0.30495313340881514</v>
      </c>
      <c r="Q53" s="48">
        <f>(résultats!S57-résultats!S161)/résultats!S162</f>
        <v>0.38769799362552354</v>
      </c>
      <c r="R53" s="48">
        <f>(résultats!T57-résultats!T161)/résultats!T162</f>
        <v>0.34631196557976857</v>
      </c>
      <c r="S53" s="48">
        <f>(résultats!U57-résultats!U161)/résultats!U162</f>
        <v>-0.20508614095848357</v>
      </c>
      <c r="T53" s="48">
        <f>(résultats!V57-résultats!V161)/résultats!V162</f>
        <v>-1.5489675985132435E-2</v>
      </c>
      <c r="U53" s="48">
        <f>(résultats!W57-résultats!W161)/résultats!W162</f>
        <v>-0.15411460770667723</v>
      </c>
      <c r="V53" s="48">
        <f>(résultats!X57-résultats!X161)/résultats!X162</f>
        <v>-0.1297315977869658</v>
      </c>
      <c r="W53" s="48">
        <f>(résultats!Y57-résultats!Y161)/résultats!Y162</f>
        <v>-6.5069943922956439E-2</v>
      </c>
      <c r="X53" s="48">
        <f>(résultats!Z57-résultats!Z161)/résultats!Z162</f>
        <v>-0.25531315420963224</v>
      </c>
      <c r="Y53" s="48">
        <f>(résultats!AA57-résultats!AA161)/résultats!AA162</f>
        <v>-0.36421948956833294</v>
      </c>
      <c r="Z53" s="48" t="s">
        <v>12</v>
      </c>
      <c r="AA53" s="48" t="s">
        <v>12</v>
      </c>
      <c r="AB53" s="48" t="s">
        <v>12</v>
      </c>
      <c r="AC53" s="33"/>
      <c r="AD53" s="33">
        <f t="shared" si="0"/>
        <v>-0.79038332719445192</v>
      </c>
      <c r="AE53" s="33"/>
      <c r="AF53" s="33"/>
      <c r="AG53" s="33"/>
      <c r="AH53" s="33"/>
      <c r="AI53" s="33"/>
      <c r="AJ53" s="33"/>
    </row>
    <row r="54" spans="1:36">
      <c r="A54" s="117"/>
      <c r="B54" s="119"/>
      <c r="C54" s="10" t="s">
        <v>24</v>
      </c>
      <c r="D54" s="41">
        <f t="shared" si="2"/>
        <v>33889</v>
      </c>
      <c r="E54" s="90">
        <f>(résultats!E58-résultats!E161)/résultats!E162</f>
        <v>4.05104913169008E-2</v>
      </c>
      <c r="F54" s="90">
        <f>(résultats!F58-résultats!F161)/résultats!F162</f>
        <v>-0.11336259116672394</v>
      </c>
      <c r="G54" s="90">
        <f>(résultats!G58-résultats!G161)/résultats!G162</f>
        <v>-0.19495404639096872</v>
      </c>
      <c r="H54" s="90">
        <f>(résultats!H58-résultats!H161)/résultats!H162</f>
        <v>-0.30193084494581091</v>
      </c>
      <c r="I54" s="90">
        <f>(résultats!I58-résultats!I161)/résultats!I162</f>
        <v>-0.20442771831010603</v>
      </c>
      <c r="J54" s="90">
        <f>(résultats!J58-résultats!J161)/résultats!J162</f>
        <v>-0.33616935590262675</v>
      </c>
      <c r="K54" s="90">
        <f>(résultats!K58-résultats!K161)/résultats!K162</f>
        <v>0.14983110650162812</v>
      </c>
      <c r="L54" s="90">
        <f>(résultats!L58-résultats!L161)/résultats!L162</f>
        <v>0.36917397451437151</v>
      </c>
      <c r="M54" s="90">
        <f>(résultats!O58-résultats!O161)/résultats!O162</f>
        <v>-0.16308965668329706</v>
      </c>
      <c r="N54" s="90">
        <f>(résultats!P58-résultats!P161)/résultats!P162</f>
        <v>-0.24816190264513951</v>
      </c>
      <c r="O54" s="90">
        <f>(résultats!Q58-résultats!Q161)/résultats!Q162</f>
        <v>-0.21568261283620135</v>
      </c>
      <c r="P54" s="90">
        <f>(résultats!R58-résultats!R161)/résultats!R162</f>
        <v>-0.34767330897278753</v>
      </c>
      <c r="Q54" s="90">
        <f>(résultats!S58-résultats!S161)/résultats!S162</f>
        <v>1.9017164456974035E-2</v>
      </c>
      <c r="R54" s="90">
        <f>(résultats!T58-résultats!T161)/résultats!T162</f>
        <v>-0.15696827784175804</v>
      </c>
      <c r="S54" s="90">
        <f>(résultats!U58-résultats!U161)/résultats!U162</f>
        <v>-0.24563421784733347</v>
      </c>
      <c r="T54" s="90">
        <f>(résultats!V58-résultats!V161)/résultats!V162</f>
        <v>-0.11680052972574016</v>
      </c>
      <c r="U54" s="90">
        <f>(résultats!W58-résultats!W161)/résultats!W162</f>
        <v>-0.1560188600905848</v>
      </c>
      <c r="V54" s="90">
        <f>(résultats!X58-résultats!X161)/résultats!X162</f>
        <v>-2.3918067438604253E-3</v>
      </c>
      <c r="W54" s="90">
        <f>(résultats!Y58-résultats!Y161)/résultats!Y162</f>
        <v>6.0538984989880917E-2</v>
      </c>
      <c r="X54" s="90">
        <f>(résultats!Z58-résultats!Z161)/résultats!Z162</f>
        <v>-0.21032313638112507</v>
      </c>
      <c r="Y54" s="90">
        <f>(résultats!AA58-résultats!AA161)/résultats!AA162</f>
        <v>3.9730899967254367E-2</v>
      </c>
      <c r="Z54" s="90" t="s">
        <v>12</v>
      </c>
      <c r="AA54" s="90" t="s">
        <v>12</v>
      </c>
      <c r="AB54" s="90" t="s">
        <v>12</v>
      </c>
      <c r="AC54" s="34"/>
      <c r="AD54" s="34">
        <f t="shared" si="0"/>
        <v>-0.37381814807474767</v>
      </c>
      <c r="AE54" s="34"/>
      <c r="AF54" s="34"/>
      <c r="AG54" s="34"/>
      <c r="AH54" s="34"/>
      <c r="AI54" s="34"/>
      <c r="AJ54" s="34"/>
    </row>
    <row r="55" spans="1:36">
      <c r="A55" s="117"/>
      <c r="B55" s="119"/>
      <c r="C55" s="11" t="s">
        <v>25</v>
      </c>
      <c r="D55" s="41">
        <f t="shared" si="2"/>
        <v>33889</v>
      </c>
      <c r="E55" s="49">
        <f>(résultats!E59-résultats!E161)/résultats!E162</f>
        <v>-0.30843642174902236</v>
      </c>
      <c r="F55" s="49">
        <f>(résultats!F59-résultats!F161)/résultats!F162</f>
        <v>-0.37087633612544946</v>
      </c>
      <c r="G55" s="49">
        <f>(résultats!G59-résultats!G161)/résultats!G162</f>
        <v>-0.27368396705070525</v>
      </c>
      <c r="H55" s="49">
        <f>(résultats!H59-résultats!H161)/résultats!H162</f>
        <v>-0.41546355880423819</v>
      </c>
      <c r="I55" s="49">
        <f>(résultats!I59-résultats!I161)/résultats!I162</f>
        <v>-0.33320060846370914</v>
      </c>
      <c r="J55" s="49">
        <f>(résultats!J59-résultats!J161)/résultats!J162</f>
        <v>-0.48617735015918601</v>
      </c>
      <c r="K55" s="49">
        <f>(résultats!K59-résultats!K161)/résultats!K162</f>
        <v>0.27452180911916396</v>
      </c>
      <c r="L55" s="49">
        <f>(résultats!L59-résultats!L161)/résultats!L162</f>
        <v>0.4397324136340291</v>
      </c>
      <c r="M55" s="49">
        <f>(résultats!O59-résultats!O161)/résultats!O162</f>
        <v>-0.14006364574074265</v>
      </c>
      <c r="N55" s="49">
        <f>(résultats!P59-résultats!P161)/résultats!P162</f>
        <v>-0.32584994603688128</v>
      </c>
      <c r="O55" s="49">
        <f>(résultats!Q59-résultats!Q161)/résultats!Q162</f>
        <v>-0.34677774180533794</v>
      </c>
      <c r="P55" s="49">
        <f>(résultats!R59-résultats!R161)/résultats!R162</f>
        <v>-0.49585891796031717</v>
      </c>
      <c r="Q55" s="49">
        <f>(résultats!S59-résultats!S161)/résultats!S162</f>
        <v>-0.23524547634892201</v>
      </c>
      <c r="R55" s="49">
        <f>(résultats!T59-résultats!T161)/résultats!T162</f>
        <v>-0.23858129028848879</v>
      </c>
      <c r="S55" s="49">
        <f>(résultats!U59-résultats!U161)/résultats!U162</f>
        <v>-0.61867652522475369</v>
      </c>
      <c r="T55" s="49">
        <f>(résultats!V59-résultats!V161)/résultats!V162</f>
        <v>-0.42073309094756334</v>
      </c>
      <c r="U55" s="49">
        <f>(résultats!W59-résultats!W161)/résultats!W162</f>
        <v>-0.17220500535379613</v>
      </c>
      <c r="V55" s="49">
        <f>(résultats!X59-résultats!X161)/résultats!X162</f>
        <v>4.3913571817268897E-2</v>
      </c>
      <c r="W55" s="49">
        <f>(résultats!Y59-résultats!Y161)/résultats!Y162</f>
        <v>0.10634930024044557</v>
      </c>
      <c r="X55" s="49">
        <f>(résultats!Z59-résultats!Z161)/résultats!Z162</f>
        <v>-0.16757212410551406</v>
      </c>
      <c r="Y55" s="49">
        <f>(résultats!AA59-résultats!AA161)/résultats!AA162</f>
        <v>4.8502394140027015E-2</v>
      </c>
      <c r="Z55" s="49" t="s">
        <v>12</v>
      </c>
      <c r="AA55" s="49" t="s">
        <v>12</v>
      </c>
      <c r="AB55" s="49" t="s">
        <v>12</v>
      </c>
      <c r="AC55" s="35"/>
      <c r="AD55" s="35">
        <f t="shared" si="0"/>
        <v>-0.49724872450398283</v>
      </c>
      <c r="AE55" s="35"/>
      <c r="AF55" s="35"/>
      <c r="AG55" s="35"/>
      <c r="AH55" s="35"/>
      <c r="AI55" s="35"/>
      <c r="AJ55" s="35"/>
    </row>
    <row r="56" spans="1:36">
      <c r="A56" s="117"/>
      <c r="B56" s="119"/>
      <c r="C56" s="8" t="s">
        <v>26</v>
      </c>
      <c r="D56" s="41">
        <f t="shared" si="2"/>
        <v>33889</v>
      </c>
      <c r="E56" s="91">
        <f>(résultats!E60-résultats!E161)/résultats!E162</f>
        <v>0.14799860293095726</v>
      </c>
      <c r="F56" s="91">
        <f>(résultats!F60-résultats!F161)/résultats!F162</f>
        <v>0.24086102855558722</v>
      </c>
      <c r="G56" s="91">
        <f>(résultats!G60-résultats!G161)/résultats!G162</f>
        <v>0.18192042348609525</v>
      </c>
      <c r="H56" s="91">
        <f>(résultats!H60-résultats!H161)/résultats!H162</f>
        <v>-2.8858140083703088E-3</v>
      </c>
      <c r="I56" s="91">
        <f>(résultats!I60-résultats!I161)/résultats!I162</f>
        <v>0.18773915327558025</v>
      </c>
      <c r="J56" s="91">
        <f>(résultats!J60-résultats!J161)/résultats!J162</f>
        <v>2.2442310122232616E-2</v>
      </c>
      <c r="K56" s="91">
        <f>(résultats!K60-résultats!K161)/résultats!K162</f>
        <v>-7.9321221979002862E-2</v>
      </c>
      <c r="L56" s="91">
        <f>(résultats!L60-résultats!L161)/résultats!L162</f>
        <v>0.1724053696454671</v>
      </c>
      <c r="M56" s="91">
        <f>(résultats!O60-résultats!O161)/résultats!O162</f>
        <v>0.18155773290848257</v>
      </c>
      <c r="N56" s="91">
        <f>(résultats!P60-résultats!P161)/résultats!P162</f>
        <v>-4.5156801806740679E-3</v>
      </c>
      <c r="O56" s="91">
        <f>(résultats!Q60-résultats!Q161)/résultats!Q162</f>
        <v>0.17949143270890139</v>
      </c>
      <c r="P56" s="91">
        <f>(résultats!R60-résultats!R161)/résultats!R162</f>
        <v>8.105653145920844E-3</v>
      </c>
      <c r="Q56" s="91">
        <f>(résultats!S60-résultats!S161)/résultats!S162</f>
        <v>-0.20981921226833286</v>
      </c>
      <c r="R56" s="91">
        <f>(résultats!T60-résultats!T161)/résultats!T162</f>
        <v>-0.38820514644083387</v>
      </c>
      <c r="S56" s="91">
        <f>(résultats!U60-résultats!U161)/résultats!U162</f>
        <v>-7.5332294914163378E-2</v>
      </c>
      <c r="T56" s="91">
        <f>(résultats!V60-résultats!V161)/résultats!V162</f>
        <v>8.5821177755475292E-2</v>
      </c>
      <c r="U56" s="91">
        <f>(résultats!W60-résultats!W161)/résultats!W162</f>
        <v>-0.14554547197909484</v>
      </c>
      <c r="V56" s="91">
        <f>(résultats!X60-résultats!X161)/résultats!X162</f>
        <v>0.13652432893952754</v>
      </c>
      <c r="W56" s="91">
        <f>(résultats!Y60-résultats!Y161)/résultats!Y162</f>
        <v>0.17654252522114866</v>
      </c>
      <c r="X56" s="91">
        <f>(résultats!Z60-résultats!Z161)/résultats!Z162</f>
        <v>-0.19325071904029184</v>
      </c>
      <c r="Y56" s="91">
        <f>(résultats!AA60-résultats!AA161)/résultats!AA162</f>
        <v>0.2433218962931902</v>
      </c>
      <c r="Z56" s="91" t="s">
        <v>12</v>
      </c>
      <c r="AA56" s="91" t="s">
        <v>12</v>
      </c>
      <c r="AB56" s="91" t="s">
        <v>12</v>
      </c>
      <c r="AC56" s="36"/>
      <c r="AD56" s="36">
        <f t="shared" si="0"/>
        <v>0.30898579884631444</v>
      </c>
      <c r="AE56" s="36"/>
      <c r="AF56" s="36"/>
      <c r="AG56" s="36"/>
      <c r="AH56" s="36"/>
      <c r="AI56" s="36"/>
      <c r="AJ56" s="36"/>
    </row>
    <row r="57" spans="1:36">
      <c r="A57" s="117"/>
      <c r="B57" s="119"/>
      <c r="C57" s="19" t="s">
        <v>27</v>
      </c>
      <c r="D57" s="41">
        <f t="shared" si="2"/>
        <v>33889</v>
      </c>
      <c r="E57" s="50">
        <f>(résultats!E61-résultats!E161)/résultats!E162</f>
        <v>0.30315535534777027</v>
      </c>
      <c r="F57" s="50">
        <f>(résultats!F61-résultats!F161)/résultats!F162</f>
        <v>3.3977747443680692E-2</v>
      </c>
      <c r="G57" s="50">
        <f>(résultats!G61-résultats!G161)/résultats!G162</f>
        <v>-0.3784513647390863</v>
      </c>
      <c r="H57" s="50">
        <f>(résultats!H61-résultats!H161)/résultats!H162</f>
        <v>-0.41876033452426442</v>
      </c>
      <c r="I57" s="50">
        <f>(résultats!I61-résultats!I161)/résultats!I162</f>
        <v>-0.33758675930736881</v>
      </c>
      <c r="J57" s="50">
        <f>(résultats!J61-résultats!J161)/résultats!J162</f>
        <v>-0.39606545967768358</v>
      </c>
      <c r="K57" s="50">
        <f>(résultats!K61-résultats!K161)/résultats!K162</f>
        <v>3.6747251202214053E-2</v>
      </c>
      <c r="L57" s="50">
        <f>(résultats!L61-résultats!L161)/résultats!L162</f>
        <v>0.19506357263037125</v>
      </c>
      <c r="M57" s="50">
        <f>(résultats!O61-résultats!O161)/résultats!O162</f>
        <v>-0.47876883896025035</v>
      </c>
      <c r="N57" s="50">
        <f>(résultats!P61-résultats!P161)/résultats!P162</f>
        <v>-0.50626171457783598</v>
      </c>
      <c r="O57" s="50">
        <f>(résultats!Q61-résultats!Q161)/résultats!Q162</f>
        <v>-0.3421116439945725</v>
      </c>
      <c r="P57" s="50">
        <f>(résultats!R61-résultats!R161)/résultats!R162</f>
        <v>-0.39810684956914444</v>
      </c>
      <c r="Q57" s="50">
        <f>(résultats!S61-résultats!S161)/résultats!S162</f>
        <v>0.47986820091766319</v>
      </c>
      <c r="R57" s="50">
        <f>(résultats!T61-résultats!T161)/résultats!T162</f>
        <v>0.50046987797915676</v>
      </c>
      <c r="S57" s="50">
        <f>(résultats!U61-résultats!U161)/résultats!U162</f>
        <v>7.0640781885696488E-2</v>
      </c>
      <c r="T57" s="50">
        <f>(résultats!V61-résultats!V161)/résultats!V162</f>
        <v>-5.4455388962289152E-2</v>
      </c>
      <c r="U57" s="50">
        <f>(résultats!W61-résultats!W161)/résultats!W162</f>
        <v>-0.12079019098829979</v>
      </c>
      <c r="V57" s="50">
        <f>(résultats!X61-résultats!X161)/résultats!X162</f>
        <v>-0.1297315977869658</v>
      </c>
      <c r="W57" s="50">
        <f>(résultats!Y61-résultats!Y161)/résultats!Y162</f>
        <v>-6.6547696027813588E-2</v>
      </c>
      <c r="X57" s="50">
        <f>(résultats!Z61-résultats!Z161)/résultats!Z162</f>
        <v>-0.25785535843114976</v>
      </c>
      <c r="Y57" s="50">
        <f>(résultats!AA61-résultats!AA161)/résultats!AA162</f>
        <v>-0.6989212408978196</v>
      </c>
      <c r="Z57" s="50" t="s">
        <v>12</v>
      </c>
      <c r="AA57" s="50" t="s">
        <v>12</v>
      </c>
      <c r="AB57" s="50" t="s">
        <v>12</v>
      </c>
      <c r="AC57" s="38"/>
      <c r="AD57" s="38">
        <f t="shared" si="0"/>
        <v>-1.1568460923846664</v>
      </c>
      <c r="AE57" s="38"/>
      <c r="AF57" s="38"/>
      <c r="AG57" s="38"/>
      <c r="AH57" s="38"/>
      <c r="AI57" s="38"/>
      <c r="AJ57" s="38"/>
    </row>
    <row r="58" spans="1:36">
      <c r="A58" s="117"/>
      <c r="B58" s="120"/>
      <c r="C58" s="21" t="s">
        <v>28</v>
      </c>
      <c r="D58" s="41">
        <f t="shared" si="2"/>
        <v>33889</v>
      </c>
      <c r="E58" s="92">
        <f>(résultats!E62-résultats!E161)/résultats!E162</f>
        <v>0.50847322651780846</v>
      </c>
      <c r="F58" s="92">
        <f>(résultats!F62-résultats!F161)/résultats!F162</f>
        <v>0.35406847019060933</v>
      </c>
      <c r="G58" s="92">
        <f>(résultats!G62-résultats!G161)/résultats!G162</f>
        <v>-0.36023542231193123</v>
      </c>
      <c r="H58" s="92">
        <f>(résultats!H62-résultats!H161)/résultats!H162</f>
        <v>-0.37260547444388831</v>
      </c>
      <c r="I58" s="92">
        <f>(résultats!I62-résultats!I161)/résultats!I162</f>
        <v>-0.28124159077727728</v>
      </c>
      <c r="J58" s="92">
        <f>(résultats!J62-résultats!J161)/résultats!J162</f>
        <v>-0.27007710346118519</v>
      </c>
      <c r="K58" s="92">
        <f>(résultats!K62-résultats!K161)/résultats!K162</f>
        <v>6.825155106568731E-2</v>
      </c>
      <c r="L58" s="92">
        <f>(résultats!L62-résultats!L161)/résultats!L162</f>
        <v>0.20659143028935753</v>
      </c>
      <c r="M58" s="92">
        <f>(résultats!O62-résultats!O161)/résultats!O162</f>
        <v>-0.48712505260875777</v>
      </c>
      <c r="N58" s="92">
        <f>(résultats!P62-résultats!P161)/résultats!P162</f>
        <v>-0.48367798103372506</v>
      </c>
      <c r="O58" s="92">
        <f>(résultats!Q62-résultats!Q161)/résultats!Q162</f>
        <v>-0.28811822646999558</v>
      </c>
      <c r="P58" s="92">
        <f>(résultats!R62-résultats!R161)/résultats!R162</f>
        <v>-0.27587968059444529</v>
      </c>
      <c r="Q58" s="92">
        <f>(résultats!S62-résultats!S161)/résultats!S162</f>
        <v>0.54025557810906299</v>
      </c>
      <c r="R58" s="92">
        <f>(résultats!T62-résultats!T161)/résultats!T162</f>
        <v>0.6546277903785449</v>
      </c>
      <c r="S58" s="92">
        <f>(résultats!U62-résultats!U161)/résultats!U162</f>
        <v>-7.5332294914163378E-2</v>
      </c>
      <c r="T58" s="92">
        <f>(résultats!V62-résultats!V161)/résultats!V162</f>
        <v>-0.23759423995492659</v>
      </c>
      <c r="U58" s="92">
        <f>(résultats!W62-résultats!W161)/résultats!W162</f>
        <v>-0.12793113742795234</v>
      </c>
      <c r="V58" s="92">
        <f>(résultats!X62-résultats!X161)/résultats!X162</f>
        <v>-0.17603697634809512</v>
      </c>
      <c r="W58" s="92">
        <f>(résultats!Y62-résultats!Y161)/résultats!Y162</f>
        <v>-0.10496925075409305</v>
      </c>
      <c r="X58" s="92">
        <f>(résultats!Z62-résultats!Z161)/résultats!Z162</f>
        <v>-0.24843287672937842</v>
      </c>
      <c r="Y58" s="92">
        <f>(résultats!AA62-résultats!AA161)/résultats!AA162</f>
        <v>-0.90805212828024362</v>
      </c>
      <c r="Z58" s="92" t="s">
        <v>12</v>
      </c>
      <c r="AA58" s="92" t="s">
        <v>12</v>
      </c>
      <c r="AB58" s="92" t="s">
        <v>12</v>
      </c>
      <c r="AC58" s="37"/>
      <c r="AD58" s="37">
        <f t="shared" si="0"/>
        <v>-1.1594488402067227</v>
      </c>
      <c r="AE58" s="37"/>
      <c r="AF58" s="37"/>
      <c r="AG58" s="37"/>
      <c r="AH58" s="37"/>
      <c r="AI58" s="37"/>
      <c r="AJ58" s="37"/>
    </row>
    <row r="59" spans="1:36">
      <c r="A59" s="117"/>
      <c r="B59" s="118">
        <v>5</v>
      </c>
      <c r="C59" s="2" t="s">
        <v>16</v>
      </c>
      <c r="D59" s="41">
        <f>D45+11111+139</f>
        <v>45139</v>
      </c>
      <c r="E59" s="85">
        <f>(résultats!E63-résultats!E161)/résultats!E162</f>
        <v>-9.1590840058056247E-2</v>
      </c>
      <c r="F59" s="85">
        <f>(résultats!F63-résultats!F161)/résultats!F162</f>
        <v>-0.2984387436554693</v>
      </c>
      <c r="G59" s="85">
        <f>(résultats!G63-résultats!G161)/résultats!G162</f>
        <v>-0.37865719459702007</v>
      </c>
      <c r="H59" s="85">
        <f>(résultats!H63-résultats!H161)/résultats!H162</f>
        <v>-0.45729140075207902</v>
      </c>
      <c r="I59" s="85">
        <f>(résultats!I63-résultats!I161)/résultats!I162</f>
        <v>-0.40562833008722071</v>
      </c>
      <c r="J59" s="85">
        <f>(résultats!J63-résultats!J161)/résultats!J162</f>
        <v>-0.496198281952969</v>
      </c>
      <c r="K59" s="85">
        <f>(résultats!K63-résultats!K161)/résultats!K162</f>
        <v>0.28214916592821548</v>
      </c>
      <c r="L59" s="85">
        <f>(résultats!L63-résultats!L161)/résultats!L162</f>
        <v>0.44350878079817974</v>
      </c>
      <c r="M59" s="85">
        <f>(résultats!O63-résultats!O161)/résultats!O162</f>
        <v>-0.3071879187108944</v>
      </c>
      <c r="N59" s="85">
        <f>(résultats!P63-résultats!P161)/résultats!P162</f>
        <v>-0.39463354591694472</v>
      </c>
      <c r="O59" s="85">
        <f>(résultats!Q63-résultats!Q161)/résultats!Q162</f>
        <v>-0.41821347733682607</v>
      </c>
      <c r="P59" s="85">
        <f>(résultats!R63-résultats!R161)/résultats!R162</f>
        <v>-0.50483312150761028</v>
      </c>
      <c r="Q59" s="85">
        <f>(résultats!S63-résultats!S161)/résultats!S162</f>
        <v>5.0799994557713862E-2</v>
      </c>
      <c r="R59" s="85">
        <f>(résultats!T63-résultats!T161)/résultats!T162</f>
        <v>2.8928028286918935E-2</v>
      </c>
      <c r="S59" s="85">
        <f>(résultats!U63-résultats!U161)/résultats!U162</f>
        <v>-0.55379960220259428</v>
      </c>
      <c r="T59" s="85">
        <f>(résultats!V63-résultats!V161)/résultats!V162</f>
        <v>-0.67401022529908305</v>
      </c>
      <c r="U59" s="85">
        <f>(résultats!W63-résultats!W161)/résultats!W162</f>
        <v>-0.16554012201012064</v>
      </c>
      <c r="V59" s="85">
        <f>(résultats!X63-résultats!X161)/résultats!X162</f>
        <v>-4.8697185304989746E-2</v>
      </c>
      <c r="W59" s="85">
        <f>(résultats!Y63-résultats!Y161)/résultats!Y162</f>
        <v>1.6206421844173924E-2</v>
      </c>
      <c r="X59" s="85">
        <f>(résultats!Z63-résultats!Z161)/résultats!Z162</f>
        <v>-0.25850840171741113</v>
      </c>
      <c r="Y59" s="85">
        <f>(résultats!AA63-résultats!AA161)/résultats!AA162</f>
        <v>-0.90620549792808103</v>
      </c>
      <c r="Z59" s="85" t="s">
        <v>12</v>
      </c>
      <c r="AA59" s="85" t="s">
        <v>12</v>
      </c>
      <c r="AB59" s="85" t="s">
        <v>12</v>
      </c>
      <c r="AC59" s="25"/>
      <c r="AD59" s="25">
        <f t="shared" si="0"/>
        <v>-0.77511639244373098</v>
      </c>
      <c r="AE59" s="25"/>
      <c r="AF59" s="25"/>
      <c r="AG59" s="25"/>
      <c r="AH59" s="25"/>
      <c r="AI59" s="25"/>
      <c r="AJ59" s="25"/>
    </row>
    <row r="60" spans="1:36">
      <c r="A60" s="117"/>
      <c r="B60" s="119"/>
      <c r="C60" s="1" t="s">
        <v>15</v>
      </c>
      <c r="D60" s="41">
        <f t="shared" ref="D60:D72" si="3">D46+11111+139</f>
        <v>45139</v>
      </c>
      <c r="E60" s="43">
        <f>(résultats!E64-résultats!E161)/résultats!E162</f>
        <v>-7.383193466095142E-2</v>
      </c>
      <c r="F60" s="43">
        <f>(résultats!F64-résultats!F161)/résultats!F162</f>
        <v>-0.25008380627367593</v>
      </c>
      <c r="G60" s="43">
        <f>(résultats!G64-résultats!G161)/résultats!G162</f>
        <v>-0.17334191130790425</v>
      </c>
      <c r="H60" s="43">
        <f>(résultats!H64-résultats!H161)/résultats!H162</f>
        <v>-0.22850890234771204</v>
      </c>
      <c r="I60" s="43">
        <f>(résultats!I64-résultats!I161)/résultats!I162</f>
        <v>-0.21275015837243502</v>
      </c>
      <c r="J60" s="43">
        <f>(résultats!J64-résultats!J161)/résultats!J162</f>
        <v>-0.30297023835680975</v>
      </c>
      <c r="K60" s="43">
        <f>(résultats!K64-résultats!K161)/résultats!K162</f>
        <v>3.9068620665838168E-2</v>
      </c>
      <c r="L60" s="43">
        <f>(résultats!L64-résultats!L161)/résultats!L162</f>
        <v>0.15153597215937123</v>
      </c>
      <c r="M60" s="43">
        <f>(résultats!O64-résultats!O161)/résultats!O162</f>
        <v>-0.15510483030805636</v>
      </c>
      <c r="N60" s="43">
        <f>(résultats!P64-résultats!P161)/résultats!P162</f>
        <v>-0.14969682439281584</v>
      </c>
      <c r="O60" s="43">
        <f>(résultats!Q64-résultats!Q161)/résultats!Q162</f>
        <v>-0.21834895444235342</v>
      </c>
      <c r="P60" s="43">
        <f>(résultats!R64-résultats!R161)/résultats!R162</f>
        <v>-0.3090323168394033</v>
      </c>
      <c r="Q60" s="43">
        <f>(résultats!S64-résultats!S161)/résultats!S162</f>
        <v>5.3978277567784685E-2</v>
      </c>
      <c r="R60" s="43">
        <f>(résultats!T64-résultats!T161)/résultats!T162</f>
        <v>-0.17963855907696066</v>
      </c>
      <c r="S60" s="43">
        <f>(résultats!U64-résultats!U161)/résultats!U162</f>
        <v>-1.0455371892003277E-2</v>
      </c>
      <c r="T60" s="43">
        <f>(résultats!V64-résultats!V161)/résultats!V162</f>
        <v>-0.31942223720695562</v>
      </c>
      <c r="U60" s="43">
        <f>(résultats!W64-résultats!W161)/résultats!W162</f>
        <v>-0.1384045255394423</v>
      </c>
      <c r="V60" s="43">
        <f>(résultats!X64-résultats!X161)/résultats!X162</f>
        <v>3.2337227176986567E-2</v>
      </c>
      <c r="W60" s="43">
        <f>(résultats!Y64-résultats!Y161)/résultats!Y162</f>
        <v>9.6005035506447137E-2</v>
      </c>
      <c r="X60" s="43">
        <f>(résultats!Z64-résultats!Z161)/résultats!Z162</f>
        <v>-0.20316298320675921</v>
      </c>
      <c r="Y60" s="43">
        <f>(résultats!AA64-résultats!AA161)/résultats!AA162</f>
        <v>-0.5101032873891852</v>
      </c>
      <c r="Z60" s="43">
        <f>(résultats!AB64-résultats!AB161)/résultats!AB162</f>
        <v>0.12077992814404473</v>
      </c>
      <c r="AA60" s="43">
        <f>(résultats!AC64-résultats!AC161)/résultats!AC162</f>
        <v>-0.16112886701582416</v>
      </c>
      <c r="AB60" s="43">
        <f>(résultats!AD64-résultats!AD161)/résultats!AD162</f>
        <v>0.4824459966012023</v>
      </c>
      <c r="AC60" s="26"/>
      <c r="AD60" s="26">
        <f t="shared" si="0"/>
        <v>-0.23930523589533798</v>
      </c>
      <c r="AE60" s="26"/>
      <c r="AF60" s="26"/>
      <c r="AG60" s="26"/>
      <c r="AH60" s="26"/>
      <c r="AI60" s="26"/>
      <c r="AJ60" s="26"/>
    </row>
    <row r="61" spans="1:36">
      <c r="A61" s="117"/>
      <c r="B61" s="119"/>
      <c r="C61" s="5" t="s">
        <v>14</v>
      </c>
      <c r="D61" s="41">
        <f t="shared" si="3"/>
        <v>45139</v>
      </c>
      <c r="E61" s="44">
        <f>(résultats!E65-résultats!E161)/résultats!E162</f>
        <v>-4.7660916181007942E-2</v>
      </c>
      <c r="F61" s="44">
        <f>(résultats!F65-résultats!F161)/résultats!F162</f>
        <v>-0.29407731793083658</v>
      </c>
      <c r="G61" s="44">
        <f>(résultats!G65-résultats!G161)/résultats!G162</f>
        <v>-0.77457092633297409</v>
      </c>
      <c r="H61" s="44">
        <f>(résultats!H65-résultats!H161)/résultats!H162</f>
        <v>-0.82646159856759227</v>
      </c>
      <c r="I61" s="44">
        <f>(résultats!I65-résultats!I161)/résultats!I162</f>
        <v>-0.80015697520410878</v>
      </c>
      <c r="J61" s="44">
        <f>(résultats!J65-résultats!J161)/résultats!J162</f>
        <v>-0.8287249270489726</v>
      </c>
      <c r="K61" s="44">
        <f>(résultats!K65-résultats!K161)/résultats!K162</f>
        <v>0.34283639619153738</v>
      </c>
      <c r="L61" s="44">
        <f>(résultats!L65-résultats!L161)/résultats!L162</f>
        <v>0.54268810789876876</v>
      </c>
      <c r="M61" s="44">
        <f>(résultats!O65-résultats!O161)/résultats!O162</f>
        <v>-0.80540394579857977</v>
      </c>
      <c r="N61" s="44">
        <f>(résultats!P65-résultats!P161)/résultats!P162</f>
        <v>-0.79843070168564867</v>
      </c>
      <c r="O61" s="44">
        <f>(résultats!Q65-résultats!Q161)/résultats!Q162</f>
        <v>-0.80794374210270059</v>
      </c>
      <c r="P61" s="44">
        <f>(résultats!R65-résultats!R161)/résultats!R162</f>
        <v>-0.82686611160963852</v>
      </c>
      <c r="Q61" s="44">
        <f>(résultats!S65-résultats!S161)/résultats!S162</f>
        <v>0.68010003055230561</v>
      </c>
      <c r="R61" s="44">
        <f>(résultats!T65-résultats!T161)/résultats!T162</f>
        <v>0.6183553404022194</v>
      </c>
      <c r="S61" s="44">
        <f>(résultats!U65-résultats!U161)/résultats!U162</f>
        <v>-0.25374383322510402</v>
      </c>
      <c r="T61" s="44">
        <f>(résultats!V65-résultats!V161)/résultats!V162</f>
        <v>-0.31552566590924003</v>
      </c>
      <c r="U61" s="44">
        <f>(résultats!W65-résultats!W161)/résultats!W162</f>
        <v>-0.14411728269116433</v>
      </c>
      <c r="V61" s="44">
        <f>(résultats!X65-résultats!X161)/résultats!X162</f>
        <v>-0.22234235490922444</v>
      </c>
      <c r="W61" s="44">
        <f>(résultats!Y65-résultats!Y161)/résultats!Y162</f>
        <v>-0.1640793349483699</v>
      </c>
      <c r="X61" s="44">
        <f>(résultats!Z65-résultats!Z161)/résultats!Z162</f>
        <v>-0.26114389783696601</v>
      </c>
      <c r="Y61" s="44">
        <f>(résultats!AA65-résultats!AA161)/résultats!AA162</f>
        <v>-0.84849829942299715</v>
      </c>
      <c r="Z61" s="44" t="s">
        <v>12</v>
      </c>
      <c r="AA61" s="44" t="s">
        <v>12</v>
      </c>
      <c r="AB61" s="44" t="s">
        <v>12</v>
      </c>
      <c r="AC61" s="27"/>
      <c r="AD61" s="27">
        <f t="shared" si="0"/>
        <v>-1.851593935385683</v>
      </c>
      <c r="AE61" s="27"/>
      <c r="AF61" s="27"/>
      <c r="AG61" s="27"/>
      <c r="AH61" s="27"/>
      <c r="AI61" s="27"/>
      <c r="AJ61" s="27"/>
    </row>
    <row r="62" spans="1:36">
      <c r="A62" s="117"/>
      <c r="B62" s="119"/>
      <c r="C62" s="12" t="s">
        <v>11</v>
      </c>
      <c r="D62" s="41">
        <f t="shared" si="3"/>
        <v>45139</v>
      </c>
      <c r="E62" s="45">
        <f>(résultats!E66-résultats!E161)/résultats!E162</f>
        <v>-4.205284079244824E-2</v>
      </c>
      <c r="F62" s="45">
        <f>(résultats!F66-résultats!F161)/résultats!F162</f>
        <v>-0.33541604871213437</v>
      </c>
      <c r="G62" s="45">
        <f>(résultats!G66-résultats!G161)/résultats!G162</f>
        <v>-0.6796833618254231</v>
      </c>
      <c r="H62" s="45">
        <f>(résultats!H66-résultats!H161)/résultats!H162</f>
        <v>-0.68044190730140053</v>
      </c>
      <c r="I62" s="45">
        <f>(résultats!I66-résultats!I161)/résultats!I162</f>
        <v>-0.6835303489252571</v>
      </c>
      <c r="J62" s="45">
        <f>(résultats!J66-résultats!J161)/résultats!J162</f>
        <v>-0.73937799319294994</v>
      </c>
      <c r="K62" s="45">
        <f>(résultats!K66-résultats!K161)/résultats!K162</f>
        <v>9.2791742538287286E-2</v>
      </c>
      <c r="L62" s="45">
        <f>(résultats!L66-résultats!L161)/résultats!L162</f>
        <v>0.31054090538676865</v>
      </c>
      <c r="M62" s="45">
        <f>(résultats!O66-résultats!O161)/résultats!O162</f>
        <v>-0.74858169298872868</v>
      </c>
      <c r="N62" s="45">
        <f>(résultats!P66-résultats!P161)/résultats!P162</f>
        <v>-0.72087170819987312</v>
      </c>
      <c r="O62" s="45">
        <f>(résultats!Q66-résultats!Q161)/résultats!Q162</f>
        <v>-0.68351446714894348</v>
      </c>
      <c r="P62" s="45">
        <f>(résultats!R66-résultats!R161)/résultats!R162</f>
        <v>-0.72903987624700062</v>
      </c>
      <c r="Q62" s="45">
        <f>(résultats!S66-résultats!S161)/résultats!S162</f>
        <v>0.7023480116228239</v>
      </c>
      <c r="R62" s="45">
        <f>(résultats!T66-résultats!T161)/résultats!T162</f>
        <v>0.80425164653088999</v>
      </c>
      <c r="S62" s="45">
        <f>(résultats!U66-résultats!U161)/résultats!U162</f>
        <v>0.31392924321879651</v>
      </c>
      <c r="T62" s="45">
        <f>(résultats!V66-résultats!V161)/résultats!V162</f>
        <v>-0.16355938529832809</v>
      </c>
      <c r="U62" s="45">
        <f>(résultats!W66-résultats!W161)/résultats!W162</f>
        <v>-0.10365191953313435</v>
      </c>
      <c r="V62" s="45">
        <f>(résultats!X66-résultats!X161)/résultats!X162</f>
        <v>-0.18761332098837746</v>
      </c>
      <c r="W62" s="45">
        <f>(résultats!Y66-résultats!Y161)/résultats!Y162</f>
        <v>-0.11753014364537694</v>
      </c>
      <c r="X62" s="45">
        <f>(résultats!Z66-résultats!Z161)/résultats!Z162</f>
        <v>-0.23112722964345189</v>
      </c>
      <c r="Y62" s="45">
        <f>(résultats!AA66-résultats!AA161)/résultats!AA162</f>
        <v>-0.85265321771536318</v>
      </c>
      <c r="Z62" s="45" t="s">
        <v>12</v>
      </c>
      <c r="AA62" s="45" t="s">
        <v>12</v>
      </c>
      <c r="AB62" s="45" t="s">
        <v>12</v>
      </c>
      <c r="AC62" s="28"/>
      <c r="AD62" s="28">
        <f t="shared" si="0"/>
        <v>-1.851547035970821</v>
      </c>
      <c r="AE62" s="28"/>
      <c r="AF62" s="28"/>
      <c r="AG62" s="28"/>
      <c r="AH62" s="28"/>
      <c r="AI62" s="28"/>
      <c r="AJ62" s="28"/>
    </row>
    <row r="63" spans="1:36">
      <c r="A63" s="117"/>
      <c r="B63" s="119"/>
      <c r="C63" s="3" t="s">
        <v>8</v>
      </c>
      <c r="D63" s="41">
        <f t="shared" si="3"/>
        <v>45139</v>
      </c>
      <c r="E63" s="88">
        <f>(résultats!E67-résultats!E161)/résultats!E162</f>
        <v>-0.17135013447312455</v>
      </c>
      <c r="F63" s="88">
        <f>(résultats!F67-résultats!F161)/résultats!F162</f>
        <v>-0.1793528586524655</v>
      </c>
      <c r="G63" s="88">
        <f>(résultats!G67-résultats!G161)/résultats!G162</f>
        <v>-0.11015214492218091</v>
      </c>
      <c r="H63" s="88">
        <f>(résultats!H67-résultats!H161)/résultats!H162</f>
        <v>-5.886231842132704E-2</v>
      </c>
      <c r="I63" s="88">
        <f>(résultats!I67-résultats!I161)/résultats!I162</f>
        <v>-0.15370582009239891</v>
      </c>
      <c r="J63" s="88">
        <f>(résultats!J67-résultats!J161)/résultats!J162</f>
        <v>-0.12703021449649052</v>
      </c>
      <c r="K63" s="88">
        <f>(résultats!K67-résultats!K161)/résultats!K162</f>
        <v>-4.8480170533708324E-2</v>
      </c>
      <c r="L63" s="88">
        <f>(résultats!L67-résultats!L161)/résultats!L162</f>
        <v>0.1807531286399055</v>
      </c>
      <c r="M63" s="88">
        <f>(résultats!O67-résultats!O161)/résultats!O162</f>
        <v>-9.2154687489298934E-2</v>
      </c>
      <c r="N63" s="88">
        <f>(résultats!P67-résultats!P161)/résultats!P162</f>
        <v>-5.1747945764357484E-2</v>
      </c>
      <c r="O63" s="88">
        <f>(résultats!Q67-résultats!Q161)/résultats!Q162</f>
        <v>-0.15757858533547345</v>
      </c>
      <c r="P63" s="88">
        <f>(résultats!R67-résultats!R161)/résultats!R162</f>
        <v>-0.13266325869508577</v>
      </c>
      <c r="Q63" s="88">
        <f>(résultats!S67-résultats!S161)/résultats!S162</f>
        <v>-7.6331325845236414E-2</v>
      </c>
      <c r="R63" s="88">
        <f>(résultats!T67-résultats!T161)/résultats!T162</f>
        <v>-0.2068428965592064</v>
      </c>
      <c r="S63" s="88">
        <f>(résultats!U67-résultats!U161)/résultats!U162</f>
        <v>0.23283308944109674</v>
      </c>
      <c r="T63" s="88">
        <f>(résultats!V67-résultats!V161)/résultats!V162</f>
        <v>5.0752036076034186E-2</v>
      </c>
      <c r="U63" s="88">
        <f>(résultats!W67-résultats!W161)/résultats!W162</f>
        <v>-0.1284072005239294</v>
      </c>
      <c r="V63" s="88">
        <f>(résultats!X67-résultats!X161)/résultats!X162</f>
        <v>9.0218950378398222E-2</v>
      </c>
      <c r="W63" s="88">
        <f>(résultats!Y67-résultats!Y161)/résultats!Y162</f>
        <v>0.14181535075701129</v>
      </c>
      <c r="X63" s="88">
        <f>(résultats!Z67-résultats!Z161)/résultats!Z162</f>
        <v>-0.11791751137513984</v>
      </c>
      <c r="Y63" s="88">
        <f>(résultats!AA67-résultats!AA161)/résultats!AA162</f>
        <v>0.18930795849243193</v>
      </c>
      <c r="Z63" s="88" t="s">
        <v>12</v>
      </c>
      <c r="AA63" s="88" t="s">
        <v>12</v>
      </c>
      <c r="AB63" s="88" t="s">
        <v>12</v>
      </c>
      <c r="AC63" s="29"/>
      <c r="AD63" s="29">
        <f t="shared" si="0"/>
        <v>1.0449179721244817E-2</v>
      </c>
      <c r="AE63" s="29"/>
      <c r="AF63" s="29"/>
      <c r="AG63" s="29"/>
      <c r="AH63" s="29"/>
      <c r="AI63" s="29"/>
      <c r="AJ63" s="29"/>
    </row>
    <row r="64" spans="1:36">
      <c r="A64" s="117"/>
      <c r="B64" s="119"/>
      <c r="C64" s="9" t="s">
        <v>7</v>
      </c>
      <c r="D64" s="41">
        <f t="shared" si="3"/>
        <v>45139</v>
      </c>
      <c r="E64" s="46">
        <f>(résultats!E68-résultats!E161)/résultats!E162</f>
        <v>-6.2234702544282441E-3</v>
      </c>
      <c r="F64" s="46">
        <f>(résultats!F68-résultats!F161)/résultats!F162</f>
        <v>-0.16076939252142308</v>
      </c>
      <c r="G64" s="46">
        <f>(résultats!G68-résultats!G161)/résultats!G162</f>
        <v>-0.15193560608277296</v>
      </c>
      <c r="H64" s="46">
        <f>(résultats!H68-résultats!H161)/résultats!H162</f>
        <v>-0.25412759700542126</v>
      </c>
      <c r="I64" s="46">
        <f>(résultats!I68-résultats!I161)/résultats!I162</f>
        <v>-0.17293740456075396</v>
      </c>
      <c r="J64" s="46">
        <f>(résultats!J68-résultats!J161)/résultats!J162</f>
        <v>-0.29692708101552079</v>
      </c>
      <c r="K64" s="46">
        <f>(résultats!K68-résultats!K161)/résultats!K162</f>
        <v>-4.6490425279173096E-2</v>
      </c>
      <c r="L64" s="46">
        <f>(résultats!L68-résultats!L161)/résultats!L162</f>
        <v>0.19605735346304243</v>
      </c>
      <c r="M64" s="46">
        <f>(résultats!O68-résultats!O161)/résultats!O162</f>
        <v>-0.17497404942784095</v>
      </c>
      <c r="N64" s="46">
        <f>(résultats!P68-résultats!P161)/résultats!P162</f>
        <v>-0.28390872659781807</v>
      </c>
      <c r="O64" s="46">
        <f>(résultats!Q68-résultats!Q161)/résultats!Q162</f>
        <v>-0.17713175711392093</v>
      </c>
      <c r="P64" s="46">
        <f>(résultats!R68-résultats!R161)/résultats!R162</f>
        <v>-0.30235728940753193</v>
      </c>
      <c r="Q64" s="46">
        <f>(résultats!S68-résultats!S161)/résultats!S162</f>
        <v>2.8552013487195532E-2</v>
      </c>
      <c r="R64" s="46">
        <f>(résultats!T68-résultats!T161)/résultats!T162</f>
        <v>-3.9082815418695384E-2</v>
      </c>
      <c r="S64" s="46">
        <f>(résultats!U68-résultats!U161)/résultats!U162</f>
        <v>7.8750397263466318E-2</v>
      </c>
      <c r="T64" s="46">
        <f>(résultats!V68-résultats!V161)/résultats!V162</f>
        <v>4.2958893480602979E-2</v>
      </c>
      <c r="U64" s="46">
        <f>(résultats!W68-résultats!W161)/résultats!W162</f>
        <v>-0.12507475885209132</v>
      </c>
      <c r="V64" s="46">
        <f>(résultats!X68-résultats!X161)/résultats!X162</f>
        <v>3.2337227176986567E-2</v>
      </c>
      <c r="W64" s="46">
        <f>(résultats!Y68-résultats!Y161)/résultats!Y162</f>
        <v>9.0832903139447918E-2</v>
      </c>
      <c r="X64" s="46">
        <f>(résultats!Z68-résultats!Z161)/résultats!Z162</f>
        <v>-0.22014210864955508</v>
      </c>
      <c r="Y64" s="46">
        <f>(résultats!AA68-résultats!AA161)/résultats!AA162</f>
        <v>-0.22941547386045685</v>
      </c>
      <c r="Z64" s="46" t="s">
        <v>12</v>
      </c>
      <c r="AA64" s="46" t="s">
        <v>12</v>
      </c>
      <c r="AB64" s="46" t="s">
        <v>12</v>
      </c>
      <c r="AC64" s="30"/>
      <c r="AD64" s="30">
        <f t="shared" si="0"/>
        <v>-0.46086354071949293</v>
      </c>
      <c r="AE64" s="30"/>
      <c r="AF64" s="30"/>
      <c r="AG64" s="30"/>
      <c r="AH64" s="30"/>
      <c r="AI64" s="30"/>
      <c r="AJ64" s="30"/>
    </row>
    <row r="65" spans="1:36">
      <c r="A65" s="117"/>
      <c r="B65" s="119"/>
      <c r="C65" s="7" t="s">
        <v>18</v>
      </c>
      <c r="D65" s="41">
        <f t="shared" si="3"/>
        <v>45139</v>
      </c>
      <c r="E65" s="47">
        <f>(résultats!E69-résultats!E161)/résultats!E162</f>
        <v>0.20657183476702284</v>
      </c>
      <c r="F65" s="47">
        <f>(résultats!F69-résultats!F161)/résultats!F162</f>
        <v>2.6392659226929262E-2</v>
      </c>
      <c r="G65" s="47">
        <f>(résultats!G69-résultats!G161)/résultats!G162</f>
        <v>-0.20370181535316187</v>
      </c>
      <c r="H65" s="47">
        <f>(résultats!H69-résultats!H161)/résultats!H162</f>
        <v>-0.27287800891307445</v>
      </c>
      <c r="I65" s="47">
        <f>(résultats!I69-résultats!I161)/résultats!I162</f>
        <v>-0.18812023440419207</v>
      </c>
      <c r="J65" s="47">
        <f>(résultats!J69-résultats!J161)/résultats!J162</f>
        <v>-0.27512581718935064</v>
      </c>
      <c r="K65" s="47">
        <f>(résultats!K69-résultats!K161)/résultats!K162</f>
        <v>0.19725336840138247</v>
      </c>
      <c r="L65" s="47">
        <f>(résultats!L69-résultats!L161)/résultats!L162</f>
        <v>0.36877646218130283</v>
      </c>
      <c r="M65" s="47">
        <f>(résultats!O69-résultats!O161)/résultats!O162</f>
        <v>-0.18982954035852131</v>
      </c>
      <c r="N65" s="47">
        <f>(résultats!P69-résultats!P161)/résultats!P162</f>
        <v>-0.2431289563124521</v>
      </c>
      <c r="O65" s="47">
        <f>(résultats!Q69-résultats!Q161)/résultats!Q162</f>
        <v>-0.20157322183698087</v>
      </c>
      <c r="P65" s="47">
        <f>(résultats!R69-résultats!R161)/résultats!R162</f>
        <v>-0.28841389877206874</v>
      </c>
      <c r="Q65" s="47">
        <f>(résultats!S69-résultats!S161)/résultats!S162</f>
        <v>6.9869692618152346E-2</v>
      </c>
      <c r="R65" s="47">
        <f>(résultats!T69-résultats!T161)/résultats!T162</f>
        <v>-0.18417261532399734</v>
      </c>
      <c r="S65" s="47">
        <f>(résultats!U69-résultats!U161)/résultats!U162</f>
        <v>-0.46459383304712398</v>
      </c>
      <c r="T65" s="47">
        <f>(résultats!V69-résultats!V161)/résultats!V162</f>
        <v>-0.56880280026075969</v>
      </c>
      <c r="U65" s="47">
        <f>(résultats!W69-résultats!W161)/résultats!W162</f>
        <v>-0.16363586962621374</v>
      </c>
      <c r="V65" s="47">
        <f>(résultats!X69-résultats!X161)/résultats!X162</f>
        <v>-4.8697185304989746E-2</v>
      </c>
      <c r="W65" s="47">
        <f>(résultats!Y69-résultats!Y161)/résultats!Y162</f>
        <v>2.0639678158744307E-2</v>
      </c>
      <c r="X65" s="47">
        <f>(résultats!Z69-résultats!Z161)/résultats!Z162</f>
        <v>-0.22466676570436608</v>
      </c>
      <c r="Y65" s="47">
        <f>(résultats!AA69-résultats!AA161)/résultats!AA162</f>
        <v>-0.35313970745535672</v>
      </c>
      <c r="Z65" s="47">
        <f>(résultats!AB69-résultats!AB161)/résultats!AB162</f>
        <v>0.202474195662839</v>
      </c>
      <c r="AA65" s="47">
        <f>(résultats!AC69-résultats!AC161)/résultats!AC162</f>
        <v>-0.15978921217535355</v>
      </c>
      <c r="AB65" s="47">
        <f>(résultats!AD69-résultats!AD161)/résultats!AD162</f>
        <v>0.205867156737846</v>
      </c>
      <c r="AC65" s="31"/>
      <c r="AD65" s="31">
        <f t="shared" si="0"/>
        <v>-0.29976326732010111</v>
      </c>
      <c r="AE65" s="31"/>
      <c r="AF65" s="31"/>
      <c r="AG65" s="31"/>
      <c r="AH65" s="31"/>
      <c r="AI65" s="31"/>
      <c r="AJ65" s="31"/>
    </row>
    <row r="66" spans="1:36">
      <c r="A66" s="117"/>
      <c r="B66" s="119"/>
      <c r="C66" s="6" t="s">
        <v>19</v>
      </c>
      <c r="D66" s="41">
        <f t="shared" si="3"/>
        <v>45139</v>
      </c>
      <c r="E66" s="89">
        <f>(résultats!E70-résultats!E161)/résultats!E162</f>
        <v>0.11248079213674761</v>
      </c>
      <c r="F66" s="89">
        <f>(résultats!F70-résultats!F161)/résultats!F162</f>
        <v>-4.8699714118913814E-2</v>
      </c>
      <c r="G66" s="89">
        <f>(résultats!G70-résultats!G161)/résultats!G162</f>
        <v>-0.25670300377115396</v>
      </c>
      <c r="H66" s="89">
        <f>(résultats!H70-résultats!H161)/résultats!H162</f>
        <v>-0.3890893530440227</v>
      </c>
      <c r="I66" s="89">
        <f>(résultats!I70-résultats!I161)/résultats!I162</f>
        <v>-0.24750196890297094</v>
      </c>
      <c r="J66" s="89">
        <f>(résultats!J70-résultats!J161)/résultats!J162</f>
        <v>-0.40172613870623308</v>
      </c>
      <c r="K66" s="89">
        <f>(résultats!K70-résultats!K161)/résultats!K162</f>
        <v>0.32658680994616696</v>
      </c>
      <c r="L66" s="89">
        <f>(résultats!L70-résultats!L161)/résultats!L162</f>
        <v>0.51744607474891946</v>
      </c>
      <c r="M66" s="89">
        <f>(résultats!O70-résultats!O161)/résultats!O162</f>
        <v>-0.18611566762585094</v>
      </c>
      <c r="N66" s="89">
        <f>(résultats!P70-résultats!P161)/résultats!P162</f>
        <v>-0.34249738390654011</v>
      </c>
      <c r="O66" s="89">
        <f>(résultats!Q70-résultats!Q161)/résultats!Q162</f>
        <v>-0.26445444471539714</v>
      </c>
      <c r="P66" s="89">
        <f>(résultats!R70-résultats!R161)/résultats!R162</f>
        <v>-0.41064106774676784</v>
      </c>
      <c r="Q66" s="89">
        <f>(résultats!S70-résultats!S161)/résultats!S162</f>
        <v>5.0799994557713862E-2</v>
      </c>
      <c r="R66" s="89">
        <f>(résultats!T70-résultats!T161)/résultats!T162</f>
        <v>-3.9082815418695384E-2</v>
      </c>
      <c r="S66" s="89">
        <f>(résultats!U70-résultats!U161)/résultats!U162</f>
        <v>-0.47270344842489381</v>
      </c>
      <c r="T66" s="89">
        <f>(résultats!V70-résultats!V161)/résultats!V162</f>
        <v>0.33130516951156375</v>
      </c>
      <c r="U66" s="89">
        <f>(résultats!W70-résultats!W161)/résultats!W162</f>
        <v>-0.18267839346528608</v>
      </c>
      <c r="V66" s="89">
        <f>(résultats!X70-résultats!X161)/résultats!X162</f>
        <v>-4.8697185304989746E-2</v>
      </c>
      <c r="W66" s="89">
        <f>(résultats!Y70-résultats!Y161)/résultats!Y162</f>
        <v>1.8423050001458854E-2</v>
      </c>
      <c r="X66" s="89">
        <f>(résultats!Z70-résultats!Z161)/résultats!Z162</f>
        <v>-0.19045196209917165</v>
      </c>
      <c r="Y66" s="89">
        <f>(résultats!AA70-résultats!AA161)/résultats!AA162</f>
        <v>-0.10707621302967907</v>
      </c>
      <c r="Z66" s="89" t="s">
        <v>12</v>
      </c>
      <c r="AA66" s="89" t="s">
        <v>12</v>
      </c>
      <c r="AB66" s="89" t="s">
        <v>12</v>
      </c>
      <c r="AC66" s="32"/>
      <c r="AD66" s="32">
        <f t="shared" si="0"/>
        <v>-0.59968572485967553</v>
      </c>
      <c r="AE66" s="32"/>
      <c r="AF66" s="32"/>
      <c r="AG66" s="32"/>
      <c r="AH66" s="32"/>
      <c r="AI66" s="32"/>
      <c r="AJ66" s="32"/>
    </row>
    <row r="67" spans="1:36">
      <c r="A67" s="117"/>
      <c r="B67" s="119"/>
      <c r="C67" s="4" t="s">
        <v>23</v>
      </c>
      <c r="D67" s="41">
        <f t="shared" si="3"/>
        <v>45139</v>
      </c>
      <c r="E67" s="48">
        <f>(résultats!E71-résultats!E161)/résultats!E162</f>
        <v>0.39537703951519226</v>
      </c>
      <c r="F67" s="48">
        <f>(résultats!F71-résultats!F161)/résultats!F162</f>
        <v>0.34250121066006245</v>
      </c>
      <c r="G67" s="48">
        <f>(résultats!G71-résultats!G161)/résultats!G162</f>
        <v>-0.25474762012078145</v>
      </c>
      <c r="H67" s="48">
        <f>(résultats!H71-résultats!H161)/résultats!H162</f>
        <v>-0.29320812585323985</v>
      </c>
      <c r="I67" s="48">
        <f>(résultats!I71-résultats!I161)/résultats!I162</f>
        <v>-0.19441829715406198</v>
      </c>
      <c r="J67" s="48">
        <f>(résultats!J71-résultats!J161)/résultats!J162</f>
        <v>-0.18111264791790208</v>
      </c>
      <c r="K67" s="48">
        <f>(résultats!K71-résultats!K161)/résultats!K162</f>
        <v>0.22709954721940961</v>
      </c>
      <c r="L67" s="48">
        <f>(résultats!L71-résultats!L161)/résultats!L162</f>
        <v>0.43814236430175513</v>
      </c>
      <c r="M67" s="48">
        <f>(résultats!O71-résultats!O161)/résultats!O162</f>
        <v>-0.27840540503270139</v>
      </c>
      <c r="N67" s="48">
        <f>(résultats!P71-résultats!P161)/résultats!P162</f>
        <v>-0.24003175856925962</v>
      </c>
      <c r="O67" s="48">
        <f>(résultats!Q71-résultats!Q161)/résultats!Q162</f>
        <v>-0.20779468558466813</v>
      </c>
      <c r="P67" s="48">
        <f>(résultats!R71-résultats!R161)/résultats!R162</f>
        <v>-0.20705273107471209</v>
      </c>
      <c r="Q67" s="48">
        <f>(résultats!S71-résultats!S161)/résultats!S162</f>
        <v>0.22878384312183794</v>
      </c>
      <c r="R67" s="48">
        <f>(résultats!T71-résultats!T161)/résultats!T162</f>
        <v>0.18308594068630066</v>
      </c>
      <c r="S67" s="48">
        <f>(résultats!U71-résultats!U161)/résultats!U162</f>
        <v>-0.40782652540273373</v>
      </c>
      <c r="T67" s="48">
        <f>(résultats!V71-résultats!V161)/résultats!V162</f>
        <v>9.7510891648622797E-2</v>
      </c>
      <c r="U67" s="48">
        <f>(résultats!W71-résultats!W161)/résultats!W162</f>
        <v>-0.16506405891414425</v>
      </c>
      <c r="V67" s="48">
        <f>(résultats!X71-résultats!X161)/résultats!X162</f>
        <v>-0.10657890850640139</v>
      </c>
      <c r="W67" s="48">
        <f>(résultats!Y71-résultats!Y161)/résultats!Y162</f>
        <v>-4.0687034192817488E-2</v>
      </c>
      <c r="X67" s="48">
        <f>(résultats!Z71-résultats!Z161)/résultats!Z162</f>
        <v>-0.2365848056786363</v>
      </c>
      <c r="Y67" s="48">
        <f>(résultats!AA71-résultats!AA161)/résultats!AA162</f>
        <v>-9.5534773328662281E-2</v>
      </c>
      <c r="Z67" s="48">
        <f>(résultats!AB71-résultats!AB161)/résultats!AB162</f>
        <v>0.16657822963185351</v>
      </c>
      <c r="AA67" s="48">
        <f>(résultats!AC71-résultats!AC161)/résultats!AC162</f>
        <v>-0.16033145342030594</v>
      </c>
      <c r="AB67" s="48">
        <f>(résultats!AD71-résultats!AD161)/résultats!AD162</f>
        <v>0.74894451428275099</v>
      </c>
      <c r="AC67" s="33"/>
      <c r="AD67" s="33">
        <f t="shared" si="0"/>
        <v>-0.52062320145871643</v>
      </c>
      <c r="AE67" s="33"/>
      <c r="AF67" s="33"/>
      <c r="AG67" s="33"/>
      <c r="AH67" s="33"/>
      <c r="AI67" s="33"/>
      <c r="AJ67" s="33"/>
    </row>
    <row r="68" spans="1:36">
      <c r="A68" s="117"/>
      <c r="B68" s="119"/>
      <c r="C68" s="10" t="s">
        <v>24</v>
      </c>
      <c r="D68" s="41">
        <f t="shared" si="3"/>
        <v>45139</v>
      </c>
      <c r="E68" s="90">
        <f>(résultats!E72-résultats!E161)/résultats!E162</f>
        <v>1.6520391043617355E-2</v>
      </c>
      <c r="F68" s="90">
        <f>(résultats!F72-résultats!F161)/résultats!F162</f>
        <v>-0.14028965433619336</v>
      </c>
      <c r="G68" s="90">
        <f>(résultats!G72-résultats!G161)/résultats!G162</f>
        <v>-1.2280047474587396E-2</v>
      </c>
      <c r="H68" s="90">
        <f>(résultats!H72-résultats!H161)/résultats!H162</f>
        <v>-0.18104906854482489</v>
      </c>
      <c r="I68" s="90">
        <f>(résultats!I72-résultats!I161)/résultats!I162</f>
        <v>-3.0106338626189878E-2</v>
      </c>
      <c r="J68" s="90">
        <f>(résultats!J72-résultats!J161)/résultats!J162</f>
        <v>-0.20673869487147048</v>
      </c>
      <c r="K68" s="90">
        <f>(résultats!K72-résultats!K161)/résultats!K162</f>
        <v>5.6313079538475974E-2</v>
      </c>
      <c r="L68" s="90">
        <f>(résultats!L72-résultats!L161)/résultats!L162</f>
        <v>0.29603170522976857</v>
      </c>
      <c r="M68" s="90">
        <f>(résultats!O72-résultats!O161)/résultats!O162</f>
        <v>2.594646540960803E-2</v>
      </c>
      <c r="N68" s="90">
        <f>(résultats!P72-résultats!P161)/résultats!P162</f>
        <v>-7.5493128462165604E-2</v>
      </c>
      <c r="O68" s="90">
        <f>(résultats!Q72-résultats!Q161)/résultats!Q162</f>
        <v>-4.059284736555737E-2</v>
      </c>
      <c r="P68" s="90">
        <f>(résultats!R72-résultats!R161)/résultats!R162</f>
        <v>-0.2266328115415327</v>
      </c>
      <c r="Q68" s="90">
        <f>(résultats!S72-résultats!S161)/résultats!S162</f>
        <v>3.0288511749967788</v>
      </c>
      <c r="R68" s="90">
        <f>(résultats!T72-résultats!T161)/résultats!T162</f>
        <v>-0.3610008089585881</v>
      </c>
      <c r="S68" s="90">
        <f>(résultats!U72-résultats!U161)/résultats!U162</f>
        <v>-0.15642844869186387</v>
      </c>
      <c r="T68" s="90">
        <f>(résultats!V72-résultats!V161)/résultats!V162</f>
        <v>-0.12459367232117137</v>
      </c>
      <c r="U68" s="90">
        <f>(résultats!W72-résultats!W161)/résultats!W162</f>
        <v>-0.15363854461070017</v>
      </c>
      <c r="V68" s="90">
        <f>(résultats!X72-résultats!X161)/résultats!X162</f>
        <v>7.8642605738115892E-2</v>
      </c>
      <c r="W68" s="90">
        <f>(résultats!Y72-résultats!Y161)/résultats!Y162</f>
        <v>0.13516546628515544</v>
      </c>
      <c r="X68" s="90">
        <f>(résultats!Z72-résultats!Z161)/résultats!Z162</f>
        <v>-0.19007879450702228</v>
      </c>
      <c r="Y68" s="90">
        <f>(résultats!AA72-résultats!AA161)/résultats!AA162</f>
        <v>0.29548920374178617</v>
      </c>
      <c r="Z68" s="90" t="s">
        <v>12</v>
      </c>
      <c r="AA68" s="90" t="s">
        <v>12</v>
      </c>
      <c r="AB68" s="90" t="s">
        <v>12</v>
      </c>
      <c r="AC68" s="34"/>
      <c r="AD68" s="34">
        <f t="shared" ref="AD68:AD131" si="4" xml:space="preserve"> 0.865*N68+0.814*P68-0.789*R68</f>
        <v>3.50489735537452E-2</v>
      </c>
      <c r="AE68" s="34"/>
      <c r="AF68" s="34"/>
      <c r="AG68" s="34"/>
      <c r="AH68" s="34"/>
      <c r="AI68" s="34"/>
      <c r="AJ68" s="34"/>
    </row>
    <row r="69" spans="1:36">
      <c r="A69" s="117"/>
      <c r="B69" s="119"/>
      <c r="C69" s="11" t="s">
        <v>25</v>
      </c>
      <c r="D69" s="41">
        <f t="shared" si="3"/>
        <v>45139</v>
      </c>
      <c r="E69" s="49">
        <f>(résultats!E73-résultats!E161)/résultats!E162</f>
        <v>-0.44209555184302407</v>
      </c>
      <c r="F69" s="49">
        <f>(résultats!F73-résultats!F161)/résultats!F162</f>
        <v>-0.29578396277960639</v>
      </c>
      <c r="G69" s="49">
        <f>(résultats!G73-résultats!G161)/résultats!G162</f>
        <v>0.16174909740856769</v>
      </c>
      <c r="H69" s="49">
        <f>(résultats!H73-résultats!H161)/résultats!H162</f>
        <v>-0.12122632579183636</v>
      </c>
      <c r="I69" s="49">
        <f>(résultats!I73-résultats!I161)/résultats!I162</f>
        <v>7.9884828684048517E-2</v>
      </c>
      <c r="J69" s="49">
        <f>(résultats!J73-résultats!J161)/résultats!J162</f>
        <v>-0.21324082618804768</v>
      </c>
      <c r="K69" s="49">
        <f>(résultats!K73-résultats!K161)/résultats!K162</f>
        <v>0.14054562864713074</v>
      </c>
      <c r="L69" s="49">
        <f>(résultats!L73-résultats!L161)/résultats!L162</f>
        <v>0.36857770601476875</v>
      </c>
      <c r="M69" s="49">
        <f>(résultats!O73-résultats!O161)/résultats!O162</f>
        <v>0.35945223680337768</v>
      </c>
      <c r="N69" s="49">
        <f>(résultats!P73-résultats!P161)/résultats!P162</f>
        <v>2.0907151294696523E-2</v>
      </c>
      <c r="O69" s="49">
        <f>(résultats!Q73-résultats!Q161)/résultats!Q162</f>
        <v>6.4061060675907111E-2</v>
      </c>
      <c r="P69" s="49">
        <f>(résultats!R73-résultats!R161)/résultats!R162</f>
        <v>-0.23115699680091184</v>
      </c>
      <c r="Q69" s="49">
        <f>(résultats!S73-résultats!S161)/résultats!S162</f>
        <v>-0.72787934291034651</v>
      </c>
      <c r="R69" s="49">
        <f>(résultats!T73-résultats!T161)/résultats!T162</f>
        <v>-0.69198691499256704</v>
      </c>
      <c r="S69" s="49">
        <f>(résultats!U73-résultats!U161)/résultats!U162</f>
        <v>-0.675443832869144</v>
      </c>
      <c r="T69" s="49">
        <f>(résultats!V73-résultats!V161)/résultats!V162</f>
        <v>-0.38956052056583784</v>
      </c>
      <c r="U69" s="49">
        <f>(résultats!W73-résultats!W161)/résultats!W162</f>
        <v>-0.17982201488942573</v>
      </c>
      <c r="V69" s="49">
        <f>(résultats!X73-résultats!X161)/résultats!X162</f>
        <v>0.27544046462291527</v>
      </c>
      <c r="W69" s="49">
        <f>(résultats!Y73-résultats!Y161)/résultats!Y162</f>
        <v>0.2925460654524164</v>
      </c>
      <c r="X69" s="49">
        <f>(résultats!Z73-résultats!Z161)/résultats!Z162</f>
        <v>-0.1284128499043406</v>
      </c>
      <c r="Y69" s="49">
        <f>(résultats!AA73-résultats!AA161)/résultats!AA162</f>
        <v>0.6417323947722896</v>
      </c>
      <c r="Z69" s="49">
        <f>(résultats!AB73-résultats!AB161)/résultats!AB162</f>
        <v>0.48469075618230961</v>
      </c>
      <c r="AA69" s="49">
        <f>(résultats!AC73-résultats!AC161)/résultats!AC162</f>
        <v>-0.15911938475511825</v>
      </c>
      <c r="AB69" s="49">
        <f>(résultats!AD73-résultats!AD161)/résultats!AD162</f>
        <v>-0.11859321348909851</v>
      </c>
      <c r="AC69" s="35"/>
      <c r="AD69" s="35">
        <f t="shared" si="4"/>
        <v>0.37590056640310565</v>
      </c>
      <c r="AE69" s="35"/>
      <c r="AF69" s="35"/>
      <c r="AG69" s="35"/>
      <c r="AH69" s="35"/>
      <c r="AI69" s="35"/>
      <c r="AJ69" s="35"/>
    </row>
    <row r="70" spans="1:36">
      <c r="A70" s="117"/>
      <c r="B70" s="119"/>
      <c r="C70" s="8" t="s">
        <v>26</v>
      </c>
      <c r="D70" s="41">
        <f t="shared" si="3"/>
        <v>45139</v>
      </c>
      <c r="E70" s="91">
        <f>(résultats!E74-résultats!E161)/résultats!E162</f>
        <v>8.2882616474906232E-2</v>
      </c>
      <c r="F70" s="91">
        <f>(résultats!F74-résultats!F161)/résultats!F162</f>
        <v>0.40356117080491549</v>
      </c>
      <c r="G70" s="91">
        <f>(résultats!G74-résultats!G161)/résultats!G162</f>
        <v>0.48397574000416826</v>
      </c>
      <c r="H70" s="91">
        <f>(résultats!H74-résultats!H161)/résultats!H162</f>
        <v>0.21957786426594539</v>
      </c>
      <c r="I70" s="91">
        <f>(résultats!I74-résultats!I161)/résultats!I162</f>
        <v>0.48284837926951324</v>
      </c>
      <c r="J70" s="91">
        <f>(résultats!J74-résultats!J161)/résultats!J162</f>
        <v>0.26332715148577412</v>
      </c>
      <c r="K70" s="91">
        <f>(résultats!K74-résultats!K161)/résultats!K162</f>
        <v>-0.17681873945122498</v>
      </c>
      <c r="L70" s="91">
        <f>(résultats!L74-résultats!L161)/résultats!L162</f>
        <v>0.13782179666850825</v>
      </c>
      <c r="M70" s="91">
        <f>(résultats!O74-résultats!O161)/résultats!O162</f>
        <v>0.52063431340125743</v>
      </c>
      <c r="N70" s="91">
        <f>(résultats!P74-résultats!P161)/résultats!P162</f>
        <v>0.20777141513396902</v>
      </c>
      <c r="O70" s="91">
        <f>(résultats!Q74-résultats!Q161)/résultats!Q162</f>
        <v>0.47290010695253748</v>
      </c>
      <c r="P70" s="91">
        <f>(résultats!R74-résultats!R161)/résultats!R162</f>
        <v>0.23520491977245422</v>
      </c>
      <c r="Q70" s="91">
        <f>(résultats!S74-résultats!S161)/résultats!S162</f>
        <v>-0.54036064531600092</v>
      </c>
      <c r="R70" s="91">
        <f>(résultats!T74-résultats!T161)/résultats!T162</f>
        <v>-0.6239760712869592</v>
      </c>
      <c r="S70" s="91">
        <f>(résultats!U74-résultats!U161)/résultats!U162</f>
        <v>-0.11588037180301398</v>
      </c>
      <c r="T70" s="91">
        <f>(résultats!V74-résultats!V161)/résultats!V162</f>
        <v>5.8545178671465387E-2</v>
      </c>
      <c r="U70" s="91">
        <f>(résultats!W74-résultats!W161)/résultats!W162</f>
        <v>-0.15125822913081621</v>
      </c>
      <c r="V70" s="91">
        <f>(résultats!X74-résultats!X161)/résultats!X162</f>
        <v>0.27544046462291527</v>
      </c>
      <c r="W70" s="91">
        <f>(résultats!Y74-résultats!Y161)/résultats!Y162</f>
        <v>0.28959056124270266</v>
      </c>
      <c r="X70" s="91">
        <f>(résultats!Z74-résultats!Z161)/résultats!Z162</f>
        <v>-0.18060966685623228</v>
      </c>
      <c r="Y70" s="91">
        <f>(résultats!AA74-résultats!AA161)/résultats!AA162</f>
        <v>0.39289895481836778</v>
      </c>
      <c r="Z70" s="91" t="s">
        <v>12</v>
      </c>
      <c r="AA70" s="91" t="s">
        <v>12</v>
      </c>
      <c r="AB70" s="91" t="s">
        <v>12</v>
      </c>
      <c r="AC70" s="36"/>
      <c r="AD70" s="36">
        <f t="shared" si="4"/>
        <v>0.86349619903107178</v>
      </c>
      <c r="AE70" s="36"/>
      <c r="AF70" s="36"/>
      <c r="AG70" s="36"/>
      <c r="AH70" s="36"/>
      <c r="AI70" s="36"/>
      <c r="AJ70" s="36"/>
    </row>
    <row r="71" spans="1:36">
      <c r="A71" s="117"/>
      <c r="B71" s="119"/>
      <c r="C71" s="19" t="s">
        <v>27</v>
      </c>
      <c r="D71" s="41">
        <f t="shared" si="3"/>
        <v>45139</v>
      </c>
      <c r="E71" s="50">
        <f>(résultats!E75-résultats!E161)/résultats!E162</f>
        <v>0.21311458938700828</v>
      </c>
      <c r="F71" s="50">
        <f>(résultats!F75-résultats!F161)/résultats!F162</f>
        <v>0.10869086637868761</v>
      </c>
      <c r="G71" s="50">
        <f>(résultats!G75-résultats!G161)/résultats!G162</f>
        <v>-0.27162566847136588</v>
      </c>
      <c r="H71" s="50">
        <f>(résultats!H75-résultats!H161)/résultats!H162</f>
        <v>-0.31044751555588052</v>
      </c>
      <c r="I71" s="50">
        <f>(résultats!I75-résultats!I161)/résultats!I162</f>
        <v>-0.24986374243417278</v>
      </c>
      <c r="J71" s="50">
        <f>(résultats!J75-résultats!J161)/résultats!J162</f>
        <v>-0.29715656800316448</v>
      </c>
      <c r="K71" s="50">
        <f>(résultats!K75-résultats!K161)/résultats!K162</f>
        <v>-3.3557081124694625E-2</v>
      </c>
      <c r="L71" s="50">
        <f>(résultats!L75-résultats!L161)/résultats!L162</f>
        <v>0.18333695880485062</v>
      </c>
      <c r="M71" s="50">
        <f>(résultats!O75-résultats!O161)/résultats!O162</f>
        <v>-0.35862505605837464</v>
      </c>
      <c r="N71" s="50">
        <f>(résultats!P75-résultats!P161)/résultats!P162</f>
        <v>-0.39566594516467563</v>
      </c>
      <c r="O71" s="50">
        <f>(résultats!Q75-résultats!Q161)/résultats!Q162</f>
        <v>-0.25312249288925159</v>
      </c>
      <c r="P71" s="50">
        <f>(résultats!R75-résultats!R161)/résultats!R162</f>
        <v>-0.29812977203401431</v>
      </c>
      <c r="Q71" s="50">
        <f>(résultats!S75-résultats!S161)/résultats!S162</f>
        <v>0.32095405041397757</v>
      </c>
      <c r="R71" s="50">
        <f>(résultats!T75-résultats!T161)/résultats!T162</f>
        <v>0.40072064054426004</v>
      </c>
      <c r="S71" s="50">
        <f>(résultats!U75-résultats!U161)/résultats!U162</f>
        <v>0.19228501255224686</v>
      </c>
      <c r="T71" s="50">
        <f>(résultats!V75-résultats!V161)/résultats!V162</f>
        <v>-4.2765675069142341E-2</v>
      </c>
      <c r="U71" s="50">
        <f>(résultats!W75-résultats!W161)/résultats!W162</f>
        <v>-0.1174577493164624</v>
      </c>
      <c r="V71" s="50">
        <f>(résultats!X75-résultats!X161)/résultats!X162</f>
        <v>-7.1849874585554405E-2</v>
      </c>
      <c r="W71" s="50">
        <f>(résultats!Y75-résultats!Y161)/résultats!Y162</f>
        <v>-3.0043555189663337E-3</v>
      </c>
      <c r="X71" s="50">
        <f>(résultats!Z75-résultats!Z161)/résultats!Z162</f>
        <v>-0.24346508315889007</v>
      </c>
      <c r="Y71" s="50">
        <f>(résultats!AA75-résultats!AA161)/résultats!AA162</f>
        <v>-0.51241157532938841</v>
      </c>
      <c r="Z71" s="50">
        <f>(résultats!AB75-résultats!AB161)/résultats!AB162</f>
        <v>-7.23156132640142E-2</v>
      </c>
      <c r="AA71" s="50">
        <f>(résultats!AC75-résultats!AC161)/résultats!AC162</f>
        <v>-0.16077800503379613</v>
      </c>
      <c r="AB71" s="50">
        <f>(résultats!AD75-résultats!AD161)/résultats!AD162</f>
        <v>-0.32901993903434018</v>
      </c>
      <c r="AC71" s="38"/>
      <c r="AD71" s="38">
        <f t="shared" si="4"/>
        <v>-0.90109726239255328</v>
      </c>
      <c r="AE71" s="38"/>
      <c r="AF71" s="38"/>
      <c r="AG71" s="38"/>
      <c r="AH71" s="38"/>
      <c r="AI71" s="38"/>
      <c r="AJ71" s="38"/>
    </row>
    <row r="72" spans="1:36">
      <c r="A72" s="117"/>
      <c r="B72" s="120"/>
      <c r="C72" s="21" t="s">
        <v>28</v>
      </c>
      <c r="D72" s="41">
        <f t="shared" si="3"/>
        <v>45139</v>
      </c>
      <c r="E72" s="92">
        <f>(résultats!E76-résultats!E161)/résultats!E162</f>
        <v>0.49538771727783576</v>
      </c>
      <c r="F72" s="92">
        <f>(résultats!F76-résultats!F161)/résultats!F162</f>
        <v>0.3851673318792917</v>
      </c>
      <c r="G72" s="92">
        <f>(résultats!G76-résultats!G161)/résultats!G162</f>
        <v>-0.26699449666785152</v>
      </c>
      <c r="H72" s="92">
        <f>(résultats!H76-résultats!H161)/résultats!H162</f>
        <v>-0.30591444894084369</v>
      </c>
      <c r="I72" s="92">
        <f>(résultats!I76-résultats!I161)/résultats!I162</f>
        <v>-0.19374350471657645</v>
      </c>
      <c r="J72" s="92">
        <f>(résultats!J76-résultats!J161)/résultats!J162</f>
        <v>-0.21561219172703416</v>
      </c>
      <c r="K72" s="92">
        <f>(résultats!K76-résultats!K161)/résultats!K162</f>
        <v>6.427206055661687E-2</v>
      </c>
      <c r="L72" s="92">
        <f>(résultats!L76-résultats!L161)/résultats!L162</f>
        <v>0.14239318849879573</v>
      </c>
      <c r="M72" s="92">
        <f>(résultats!O76-résultats!O161)/résultats!O162</f>
        <v>-0.3814653733642952</v>
      </c>
      <c r="N72" s="92">
        <f>(résultats!P76-résultats!P161)/résultats!P162</f>
        <v>-0.31939745073856385</v>
      </c>
      <c r="O72" s="92">
        <f>(résultats!Q76-résultats!Q161)/résultats!Q162</f>
        <v>-0.20146212427005672</v>
      </c>
      <c r="P72" s="92">
        <f>(résultats!R76-résultats!R161)/résultats!R162</f>
        <v>-0.21758444102277444</v>
      </c>
      <c r="Q72" s="92">
        <f>(résultats!S76-résultats!S161)/résultats!S162</f>
        <v>0.40994597469604188</v>
      </c>
      <c r="R72" s="92">
        <f>(résultats!T76-résultats!T161)/résultats!T162</f>
        <v>0.5820828904258939</v>
      </c>
      <c r="S72" s="92">
        <f>(résultats!U76-résultats!U161)/résultats!U162</f>
        <v>-9.1551525669703759E-2</v>
      </c>
      <c r="T72" s="92">
        <f>(résultats!V76-résultats!V161)/résultats!V162</f>
        <v>-0.15186967140518129</v>
      </c>
      <c r="U72" s="92">
        <f>(résultats!W76-résultats!W161)/résultats!W162</f>
        <v>-0.13507208386760422</v>
      </c>
      <c r="V72" s="92">
        <f>(résultats!X76-résultats!X161)/résultats!X162</f>
        <v>-0.1297315977869658</v>
      </c>
      <c r="W72" s="92">
        <f>(résultats!Y76-résultats!Y161)/résultats!Y162</f>
        <v>-6.4331067870528127E-2</v>
      </c>
      <c r="X72" s="92">
        <f>(résultats!Z76-résultats!Z161)/résultats!Z162</f>
        <v>-0.22352393995340866</v>
      </c>
      <c r="Y72" s="92">
        <f>(résultats!AA76-résultats!AA161)/résultats!AA162</f>
        <v>-0.55950064930953702</v>
      </c>
      <c r="Z72" s="92" t="s">
        <v>12</v>
      </c>
      <c r="AA72" s="92" t="s">
        <v>12</v>
      </c>
      <c r="AB72" s="92" t="s">
        <v>12</v>
      </c>
      <c r="AC72" s="37"/>
      <c r="AD72" s="37">
        <f t="shared" si="4"/>
        <v>-0.91265593042742643</v>
      </c>
      <c r="AE72" s="37"/>
      <c r="AF72" s="37"/>
      <c r="AG72" s="37"/>
      <c r="AH72" s="37"/>
      <c r="AI72" s="37"/>
      <c r="AJ72" s="37"/>
    </row>
    <row r="73" spans="1:36">
      <c r="A73" s="117"/>
      <c r="B73" s="118">
        <v>6</v>
      </c>
      <c r="C73" s="2" t="s">
        <v>16</v>
      </c>
      <c r="D73" s="41">
        <f>D59+11111+139</f>
        <v>56389</v>
      </c>
      <c r="E73" s="85">
        <f>(résultats!E77-résultats!E161)/résultats!E162</f>
        <v>-8.3178726975217596E-2</v>
      </c>
      <c r="F73" s="85">
        <f>(résultats!F77-résultats!F161)/résultats!F162</f>
        <v>-0.28269968560570946</v>
      </c>
      <c r="G73" s="85">
        <f>(résultats!G77-résultats!G161)/résultats!G162</f>
        <v>-0.22696058929969823</v>
      </c>
      <c r="H73" s="85">
        <f>(résultats!H77-résultats!H161)/résultats!H162</f>
        <v>-0.36429485231632025</v>
      </c>
      <c r="I73" s="85">
        <f>(résultats!I77-résultats!I161)/résultats!I162</f>
        <v>-0.25683659762152949</v>
      </c>
      <c r="J73" s="85">
        <f>(résultats!J77-résultats!J161)/résultats!J162</f>
        <v>-0.42521030710845781</v>
      </c>
      <c r="K73" s="85">
        <f>(résultats!K77-résultats!K161)/résultats!K162</f>
        <v>0.26192008917377485</v>
      </c>
      <c r="L73" s="85">
        <f>(résultats!L77-résultats!L161)/résultats!L162</f>
        <v>0.44171997529937146</v>
      </c>
      <c r="M73" s="85">
        <f>(résultats!O77-résultats!O161)/résultats!O162</f>
        <v>-0.13467853027837126</v>
      </c>
      <c r="N73" s="85">
        <f>(résultats!P77-résultats!P161)/résultats!P162</f>
        <v>-0.28726402415294305</v>
      </c>
      <c r="O73" s="85">
        <f>(résultats!Q77-résultats!Q161)/résultats!Q162</f>
        <v>-0.2714535914315459</v>
      </c>
      <c r="P73" s="85">
        <f>(résultats!R77-résultats!R161)/résultats!R162</f>
        <v>-0.42762530421230527</v>
      </c>
      <c r="Q73" s="85">
        <f>(résultats!S77-résultats!S161)/résultats!S162</f>
        <v>-0.12718385400641471</v>
      </c>
      <c r="R73" s="85">
        <f>(résultats!T77-résultats!T161)/résultats!T162</f>
        <v>-0.16150233408879472</v>
      </c>
      <c r="S73" s="85">
        <f>(résultats!U77-résultats!U161)/résultats!U162</f>
        <v>-0.6430053713580639</v>
      </c>
      <c r="T73" s="85">
        <f>(résultats!V77-résultats!V161)/résultats!V162</f>
        <v>-0.65063079751278874</v>
      </c>
      <c r="U73" s="85">
        <f>(résultats!W77-résultats!W161)/résultats!W162</f>
        <v>-0.17363319464172663</v>
      </c>
      <c r="V73" s="85">
        <f>(résultats!X77-résultats!X161)/résultats!X162</f>
        <v>9.184537896421905E-3</v>
      </c>
      <c r="W73" s="85">
        <f>(résultats!Y77-résultats!Y161)/résultats!Y162</f>
        <v>7.4577629986021951E-2</v>
      </c>
      <c r="X73" s="85">
        <f>(résultats!Z77-résultats!Z161)/résultats!Z162</f>
        <v>-0.23798418414919636</v>
      </c>
      <c r="Y73" s="85">
        <f>(résultats!AA77-résultats!AA161)/résultats!AA162</f>
        <v>-0.48979035351539546</v>
      </c>
      <c r="Z73" s="85" t="s">
        <v>12</v>
      </c>
      <c r="AA73" s="85" t="s">
        <v>12</v>
      </c>
      <c r="AB73" s="85" t="s">
        <v>12</v>
      </c>
      <c r="AC73" s="25"/>
      <c r="AD73" s="25">
        <f t="shared" si="4"/>
        <v>-0.46914503692505316</v>
      </c>
      <c r="AE73" s="25"/>
      <c r="AF73" s="25"/>
      <c r="AG73" s="25"/>
      <c r="AH73" s="25"/>
      <c r="AI73" s="25"/>
      <c r="AJ73" s="25"/>
    </row>
    <row r="74" spans="1:36">
      <c r="A74" s="117"/>
      <c r="B74" s="119"/>
      <c r="C74" s="1" t="s">
        <v>15</v>
      </c>
      <c r="D74" s="41">
        <f t="shared" ref="D74:D86" si="5">D60+11111+139</f>
        <v>56389</v>
      </c>
      <c r="E74" s="43">
        <f>(résultats!E78-résultats!E161)/résultats!E162</f>
        <v>4.9926805226911519E-3</v>
      </c>
      <c r="F74" s="43">
        <f>(résultats!F78-résultats!F161)/résultats!F162</f>
        <v>-0.16759597191650003</v>
      </c>
      <c r="G74" s="43">
        <f>(résultats!G78-résultats!G161)/résultats!G162</f>
        <v>-5.3548933990344438E-2</v>
      </c>
      <c r="H74" s="43">
        <f>(résultats!H78-résultats!H161)/résultats!H162</f>
        <v>-0.19560982797494375</v>
      </c>
      <c r="I74" s="43">
        <f>(résultats!I78-résultats!I161)/résultats!I162</f>
        <v>-7.7904136281457217E-2</v>
      </c>
      <c r="J74" s="43">
        <f>(résultats!J78-résultats!J161)/résultats!J162</f>
        <v>-0.22188483605596768</v>
      </c>
      <c r="K74" s="43">
        <f>(résultats!K78-résultats!K161)/résultats!K162</f>
        <v>2.6466900720449053E-2</v>
      </c>
      <c r="L74" s="43">
        <f>(résultats!L78-résultats!L161)/résultats!L162</f>
        <v>0.15570985165659029</v>
      </c>
      <c r="M74" s="43">
        <f>(résultats!O78-résultats!O161)/résultats!O162</f>
        <v>-3.2361336493311327E-2</v>
      </c>
      <c r="N74" s="43">
        <f>(résultats!P78-résultats!P161)/résultats!P162</f>
        <v>-0.13601753436038291</v>
      </c>
      <c r="O74" s="43">
        <f>(résultats!Q78-résultats!Q161)/résultats!Q162</f>
        <v>-8.6365044937832397E-2</v>
      </c>
      <c r="P74" s="43">
        <f>(résultats!R78-résultats!R161)/résultats!R162</f>
        <v>-0.23501367931710365</v>
      </c>
      <c r="Q74" s="43">
        <f>(résultats!S78-résultats!S161)/résultats!S162</f>
        <v>-6.3618193804944101E-2</v>
      </c>
      <c r="R74" s="43">
        <f>(résultats!T78-résultats!T161)/résultats!T162</f>
        <v>-0.1070936591243097</v>
      </c>
      <c r="S74" s="43">
        <f>(résultats!U78-résultats!U161)/résultats!U162</f>
        <v>-0.10777075642524343</v>
      </c>
      <c r="T74" s="43">
        <f>(résultats!V78-résultats!V161)/résultats!V162</f>
        <v>-0.31942223720695562</v>
      </c>
      <c r="U74" s="43">
        <f>(résultats!W78-résultats!W161)/résultats!W162</f>
        <v>-0.14554547197909484</v>
      </c>
      <c r="V74" s="43">
        <f>(résultats!X78-résultats!X161)/résultats!X162</f>
        <v>6.7066261097833563E-2</v>
      </c>
      <c r="W74" s="43">
        <f>(résultats!Y78-résultats!Y161)/résultats!Y162</f>
        <v>0.12334344944629985</v>
      </c>
      <c r="X74" s="43">
        <f>(résultats!Z78-résultats!Z161)/résultats!Z162</f>
        <v>-0.19847506533038289</v>
      </c>
      <c r="Y74" s="43">
        <f>(résultats!AA78-résultats!AA161)/résultats!AA162</f>
        <v>-0.36421948956833294</v>
      </c>
      <c r="Z74" s="43" t="s">
        <v>12</v>
      </c>
      <c r="AA74" s="43" t="s">
        <v>12</v>
      </c>
      <c r="AB74" s="43" t="s">
        <v>12</v>
      </c>
      <c r="AC74" s="26"/>
      <c r="AD74" s="26">
        <f t="shared" si="4"/>
        <v>-0.2244594051367732</v>
      </c>
      <c r="AE74" s="26"/>
      <c r="AF74" s="26"/>
      <c r="AG74" s="26"/>
      <c r="AH74" s="26"/>
      <c r="AI74" s="26"/>
      <c r="AJ74" s="26"/>
    </row>
    <row r="75" spans="1:36">
      <c r="A75" s="117"/>
      <c r="B75" s="119"/>
      <c r="C75" s="5" t="s">
        <v>14</v>
      </c>
      <c r="D75" s="41">
        <f t="shared" si="5"/>
        <v>56389</v>
      </c>
      <c r="E75" s="44">
        <f>(résultats!E79-résultats!E161)/résultats!E162</f>
        <v>-0.14704847445603431</v>
      </c>
      <c r="F75" s="44">
        <f>(résultats!F79-résultats!F161)/résultats!F162</f>
        <v>-0.33295089504169012</v>
      </c>
      <c r="G75" s="44">
        <f>(résultats!G79-résultats!G161)/résultats!G162</f>
        <v>-0.72167265284394888</v>
      </c>
      <c r="H75" s="44">
        <f>(résultats!H79-résultats!H161)/résultats!H162</f>
        <v>-0.77611708600968188</v>
      </c>
      <c r="I75" s="44">
        <f>(résultats!I79-résultats!I161)/résultats!I162</f>
        <v>-0.73762620933039502</v>
      </c>
      <c r="J75" s="44">
        <f>(résultats!J79-résultats!J161)/résultats!J162</f>
        <v>-0.80845357647376204</v>
      </c>
      <c r="K75" s="44">
        <f>(résultats!K79-résultats!K161)/résultats!K162</f>
        <v>0.2964090069190507</v>
      </c>
      <c r="L75" s="44">
        <f>(résultats!L79-résultats!L161)/résultats!L162</f>
        <v>0.50969458425408387</v>
      </c>
      <c r="M75" s="44">
        <f>(résultats!O79-résultats!O161)/résultats!O162</f>
        <v>-0.70178689655708604</v>
      </c>
      <c r="N75" s="44">
        <f>(résultats!P79-résultats!P161)/résultats!P162</f>
        <v>-0.7577799813062488</v>
      </c>
      <c r="O75" s="44">
        <f>(résultats!Q79-résultats!Q161)/résultats!Q162</f>
        <v>-0.74484032409043854</v>
      </c>
      <c r="P75" s="44">
        <f>(résultats!R79-résultats!R161)/résultats!R162</f>
        <v>-0.80780519994307487</v>
      </c>
      <c r="Q75" s="44">
        <f>(résultats!S79-résultats!S161)/résultats!S162</f>
        <v>0.50529446499825237</v>
      </c>
      <c r="R75" s="44">
        <f>(résultats!T79-résultats!T161)/résultats!T162</f>
        <v>0.55487855294364818</v>
      </c>
      <c r="S75" s="44">
        <f>(résultats!U79-résultats!U161)/résultats!U162</f>
        <v>-0.20508614095848357</v>
      </c>
      <c r="T75" s="44">
        <f>(résultats!V79-résultats!V161)/résultats!V162</f>
        <v>-0.17135252789375999</v>
      </c>
      <c r="U75" s="44">
        <f>(résultats!W79-résultats!W161)/résultats!W162</f>
        <v>-0.13935665173139575</v>
      </c>
      <c r="V75" s="44">
        <f>(résultats!X79-résultats!X161)/résultats!X162</f>
        <v>-0.17603697634809512</v>
      </c>
      <c r="W75" s="44">
        <f>(résultats!Y79-résultats!Y161)/résultats!Y162</f>
        <v>-0.1160523915405198</v>
      </c>
      <c r="X75" s="44">
        <f>(résultats!Z79-résultats!Z161)/résultats!Z162</f>
        <v>-0.25225784454890937</v>
      </c>
      <c r="Y75" s="44">
        <f>(résultats!AA79-résultats!AA161)/résultats!AA162</f>
        <v>-0.81849055620035338</v>
      </c>
      <c r="Z75" s="44">
        <f>(résultats!AB79-résultats!AB161)/résultats!AB162</f>
        <v>-0.1750523436285584</v>
      </c>
      <c r="AA75" s="44">
        <f>(résultats!AC79-résultats!AC161)/résultats!AC162</f>
        <v>-0.16023576378884374</v>
      </c>
      <c r="AB75" s="44">
        <f>(résultats!AD79-résultats!AD161)/résultats!AD162</f>
        <v>0.15609556596516896</v>
      </c>
      <c r="AC75" s="27"/>
      <c r="AD75" s="27">
        <f t="shared" si="4"/>
        <v>-1.7508322948561066</v>
      </c>
      <c r="AE75" s="27"/>
      <c r="AF75" s="27"/>
      <c r="AG75" s="27"/>
      <c r="AH75" s="27"/>
      <c r="AI75" s="27"/>
      <c r="AJ75" s="27"/>
    </row>
    <row r="76" spans="1:36">
      <c r="A76" s="117"/>
      <c r="B76" s="119"/>
      <c r="C76" s="12" t="s">
        <v>11</v>
      </c>
      <c r="D76" s="41">
        <f t="shared" si="5"/>
        <v>56389</v>
      </c>
      <c r="E76" s="45">
        <f>(résultats!E80-résultats!E161)/résultats!E162</f>
        <v>-8.0997808768555779E-2</v>
      </c>
      <c r="F76" s="45">
        <f>(résultats!F80-résultats!F161)/résultats!F162</f>
        <v>-0.30109352453133215</v>
      </c>
      <c r="G76" s="45">
        <f>(résultats!G80-résultats!G161)/résultats!G162</f>
        <v>-0.61680234022660096</v>
      </c>
      <c r="H76" s="45">
        <f>(résultats!H80-résultats!H161)/résultats!H162</f>
        <v>-0.65310614195617722</v>
      </c>
      <c r="I76" s="45">
        <f>(résultats!I80-résultats!I161)/résultats!I162</f>
        <v>-0.62977188473886203</v>
      </c>
      <c r="J76" s="45">
        <f>(résultats!J80-résultats!J161)/résultats!J162</f>
        <v>-0.69539298722787013</v>
      </c>
      <c r="K76" s="45">
        <f>(résultats!K80-résultats!K161)/résultats!K162</f>
        <v>8.8480627820127958E-2</v>
      </c>
      <c r="L76" s="45">
        <f>(résultats!L80-résultats!L161)/résultats!L162</f>
        <v>0.34870208936134406</v>
      </c>
      <c r="M76" s="45">
        <f>(résultats!O80-résultats!O161)/résultats!O162</f>
        <v>-0.66706218650662108</v>
      </c>
      <c r="N76" s="45">
        <f>(résultats!P80-résultats!P161)/résultats!P162</f>
        <v>-0.66073445201955483</v>
      </c>
      <c r="O76" s="45">
        <f>(résultats!Q80-résultats!Q161)/résultats!Q162</f>
        <v>-0.63063202529359674</v>
      </c>
      <c r="P76" s="45">
        <f>(résultats!R80-résultats!R161)/résultats!R162</f>
        <v>-0.69054721805654584</v>
      </c>
      <c r="Q76" s="45">
        <f>(résultats!S80-résultats!S161)/résultats!S162</f>
        <v>0.55296871014935978</v>
      </c>
      <c r="R76" s="45">
        <f>(résultats!T80-résultats!T161)/résultats!T162</f>
        <v>0.76797919655456448</v>
      </c>
      <c r="S76" s="45">
        <f>(résultats!U80-résultats!U161)/résultats!U162</f>
        <v>0.22472347406332618</v>
      </c>
      <c r="T76" s="45">
        <f>(résultats!V80-résultats!V161)/résultats!V162</f>
        <v>-0.18304224178690678</v>
      </c>
      <c r="U76" s="45">
        <f>(résultats!W80-résultats!W161)/résultats!W162</f>
        <v>-0.10888861358887933</v>
      </c>
      <c r="V76" s="45">
        <f>(résultats!X80-résultats!X161)/résultats!X162</f>
        <v>-0.15288428706753046</v>
      </c>
      <c r="W76" s="45">
        <f>(résultats!Y80-résultats!Y161)/résultats!Y162</f>
        <v>-8.1325217076382406E-2</v>
      </c>
      <c r="X76" s="45">
        <f>(résultats!Z80-résultats!Z161)/résultats!Z162</f>
        <v>-0.20689465912825283</v>
      </c>
      <c r="Y76" s="45">
        <f>(résultats!AA80-résultats!AA161)/résultats!AA162</f>
        <v>-0.73723882070519531</v>
      </c>
      <c r="Z76" s="45" t="s">
        <v>12</v>
      </c>
      <c r="AA76" s="45" t="s">
        <v>12</v>
      </c>
      <c r="AB76" s="45" t="s">
        <v>12</v>
      </c>
      <c r="AC76" s="28"/>
      <c r="AD76" s="28">
        <f t="shared" si="4"/>
        <v>-1.7395763225764946</v>
      </c>
      <c r="AE76" s="28"/>
      <c r="AF76" s="28"/>
      <c r="AG76" s="28"/>
      <c r="AH76" s="28"/>
      <c r="AI76" s="28"/>
      <c r="AJ76" s="28"/>
    </row>
    <row r="77" spans="1:36">
      <c r="A77" s="117"/>
      <c r="B77" s="119"/>
      <c r="C77" s="3" t="s">
        <v>8</v>
      </c>
      <c r="D77" s="41">
        <f t="shared" si="5"/>
        <v>56389</v>
      </c>
      <c r="E77" s="88">
        <f>(résultats!E81-résultats!E161)/résultats!E162</f>
        <v>-0.20562170629209989</v>
      </c>
      <c r="F77" s="88">
        <f>(résultats!F81-résultats!F161)/résultats!F162</f>
        <v>-2.1014142127769895E-2</v>
      </c>
      <c r="G77" s="88">
        <f>(résultats!G81-résultats!G161)/résultats!G162</f>
        <v>9.61922876566043E-2</v>
      </c>
      <c r="H77" s="88">
        <f>(résultats!H81-résultats!H161)/résultats!H162</f>
        <v>0.37686153924222898</v>
      </c>
      <c r="I77" s="88">
        <f>(résultats!I81-résultats!I161)/résultats!I162</f>
        <v>4.6370137622237344E-2</v>
      </c>
      <c r="J77" s="88">
        <f>(résultats!J81-résultats!J161)/résultats!J162</f>
        <v>0.34196469258508183</v>
      </c>
      <c r="K77" s="88">
        <f>(résultats!K81-résultats!K161)/résultats!K162</f>
        <v>-0.14034007645141414</v>
      </c>
      <c r="L77" s="88">
        <f>(résultats!L81-résultats!L161)/résultats!L162</f>
        <v>-2.9928407886395985E-2</v>
      </c>
      <c r="M77" s="88">
        <f>(résultats!O81-résultats!O161)/résultats!O162</f>
        <v>0.12807796555803411</v>
      </c>
      <c r="N77" s="88">
        <f>(résultats!P81-résultats!P161)/résultats!P162</f>
        <v>0.62137636375611527</v>
      </c>
      <c r="O77" s="88">
        <f>(résultats!Q81-résultats!Q161)/résultats!Q162</f>
        <v>4.250813269284498E-2</v>
      </c>
      <c r="P77" s="88">
        <f>(résultats!R81-résultats!R161)/résultats!R162</f>
        <v>0.31211606918189772</v>
      </c>
      <c r="Q77" s="88">
        <f>(résultats!S81-résultats!S161)/résultats!S162</f>
        <v>-0.2670283064496573</v>
      </c>
      <c r="R77" s="88">
        <f>(résultats!T81-résultats!T161)/résultats!T162</f>
        <v>-0.37460297769971096</v>
      </c>
      <c r="S77" s="88">
        <f>(résultats!U81-résultats!U161)/résultats!U162</f>
        <v>0.28960039708548629</v>
      </c>
      <c r="T77" s="88">
        <f>(résultats!V81-résultats!V161)/résultats!V162</f>
        <v>0.3819605963818673</v>
      </c>
      <c r="U77" s="88">
        <f>(résultats!W81-résultats!W161)/résultats!W162</f>
        <v>-0.12935932671588285</v>
      </c>
      <c r="V77" s="88">
        <f>(résultats!X81-résultats!X161)/résultats!X162</f>
        <v>0.19440605214093892</v>
      </c>
      <c r="W77" s="88">
        <f>(résultats!Y81-résultats!Y161)/résultats!Y162</f>
        <v>0.22383059257656995</v>
      </c>
      <c r="X77" s="88">
        <f>(résultats!Z81-résultats!Z161)/résultats!Z162</f>
        <v>-2.2036763167263711E-2</v>
      </c>
      <c r="Y77" s="88">
        <f>(résultats!AA81-résultats!AA161)/résultats!AA162</f>
        <v>0.27563792745603732</v>
      </c>
      <c r="Z77" s="88" t="s">
        <v>12</v>
      </c>
      <c r="AA77" s="88" t="s">
        <v>12</v>
      </c>
      <c r="AB77" s="88" t="s">
        <v>12</v>
      </c>
      <c r="AC77" s="29"/>
      <c r="AD77" s="29">
        <f t="shared" si="4"/>
        <v>1.0871147843681763</v>
      </c>
      <c r="AE77" s="29"/>
      <c r="AF77" s="29"/>
      <c r="AG77" s="29"/>
      <c r="AH77" s="29"/>
      <c r="AI77" s="29"/>
      <c r="AJ77" s="29"/>
    </row>
    <row r="78" spans="1:36">
      <c r="A78" s="117"/>
      <c r="B78" s="119"/>
      <c r="C78" s="9" t="s">
        <v>7</v>
      </c>
      <c r="D78" s="41">
        <f t="shared" si="5"/>
        <v>56389</v>
      </c>
      <c r="E78" s="46">
        <f>(résultats!E82-résultats!E161)/résultats!E162</f>
        <v>0.66113750098414925</v>
      </c>
      <c r="F78" s="46">
        <f>(résultats!F82-résultats!F161)/résultats!F162</f>
        <v>1.0606194375810454</v>
      </c>
      <c r="G78" s="46">
        <f>(résultats!G82-résultats!G161)/résultats!G162</f>
        <v>0.46565688264804578</v>
      </c>
      <c r="H78" s="46">
        <f>(résultats!H82-résultats!H161)/résultats!H162</f>
        <v>0.405021498517459</v>
      </c>
      <c r="I78" s="46">
        <f>(résultats!I82-résultats!I161)/résultats!I162</f>
        <v>0.5498777613931356</v>
      </c>
      <c r="J78" s="46">
        <f>(résultats!J82-résultats!J161)/résultats!J162</f>
        <v>0.60013755368446331</v>
      </c>
      <c r="K78" s="46">
        <f>(résultats!K82-résultats!K161)/résultats!K162</f>
        <v>-1.0778417155465574</v>
      </c>
      <c r="L78" s="46">
        <f>(résultats!L82-résultats!L161)/résultats!L162</f>
        <v>-0.84999635100669835</v>
      </c>
      <c r="M78" s="46">
        <f>(résultats!O82-résultats!O161)/résultats!O162</f>
        <v>4.5629990892759278E-2</v>
      </c>
      <c r="N78" s="46">
        <f>(résultats!P82-résultats!P161)/résultats!P162</f>
        <v>-0.16156941574171974</v>
      </c>
      <c r="O78" s="46">
        <f>(résultats!Q82-résultats!Q161)/résultats!Q162</f>
        <v>0.57910938093092379</v>
      </c>
      <c r="P78" s="46">
        <f>(résultats!R82-résultats!R161)/résultats!R162</f>
        <v>0.61249230361607909</v>
      </c>
      <c r="Q78" s="46">
        <f>(résultats!S82-résultats!S161)/résultats!S162</f>
        <v>0.30188435235353456</v>
      </c>
      <c r="R78" s="46">
        <f>(résultats!T82-résultats!T161)/résultats!T162</f>
        <v>0.64555967788446511</v>
      </c>
      <c r="S78" s="46">
        <f>(résultats!U82-résultats!U161)/résultats!U162</f>
        <v>1.7736600112173975</v>
      </c>
      <c r="T78" s="46">
        <f>(résultats!V82-résultats!V161)/résultats!V162</f>
        <v>0.60406516035166147</v>
      </c>
      <c r="U78" s="46">
        <f>(résultats!W82-résultats!W161)/résultats!W162</f>
        <v>-1.2723868201562171E-2</v>
      </c>
      <c r="V78" s="46">
        <f>(résultats!X82-résultats!X161)/résultats!X162</f>
        <v>0.13652432893952754</v>
      </c>
      <c r="W78" s="46">
        <f>(résultats!Y82-résultats!Y161)/résultats!Y162</f>
        <v>0.18245353364057673</v>
      </c>
      <c r="X78" s="46">
        <f>(résultats!Z82-résultats!Z161)/résultats!Z162</f>
        <v>-0.20073739385778841</v>
      </c>
      <c r="Y78" s="46">
        <f>(résultats!AA82-résultats!AA161)/résultats!AA162</f>
        <v>-9.4149800564540212E-2</v>
      </c>
      <c r="Z78" s="46">
        <f>(résultats!AB82-résultats!AB161)/résultats!AB162</f>
        <v>7.498162665623595E-2</v>
      </c>
      <c r="AA78" s="46">
        <f>(résultats!AC82-résultats!AC161)/résultats!AC162</f>
        <v>-0.15864093659780734</v>
      </c>
      <c r="AB78" s="46">
        <f>(résultats!AD82-résultats!AD161)/résultats!AD162</f>
        <v>-2.743887121713716</v>
      </c>
      <c r="AC78" s="30"/>
      <c r="AD78" s="30">
        <f t="shared" si="4"/>
        <v>-0.15053539532394222</v>
      </c>
      <c r="AE78" s="30"/>
      <c r="AF78" s="30"/>
      <c r="AG78" s="30"/>
      <c r="AH78" s="30"/>
      <c r="AI78" s="30"/>
      <c r="AJ78" s="30"/>
    </row>
    <row r="79" spans="1:36">
      <c r="A79" s="117"/>
      <c r="B79" s="119"/>
      <c r="C79" s="7" t="s">
        <v>18</v>
      </c>
      <c r="D79" s="41">
        <f t="shared" si="5"/>
        <v>56389</v>
      </c>
      <c r="E79" s="47">
        <f>(résultats!E83-résultats!E161)/résultats!E162</f>
        <v>0.17915457731184328</v>
      </c>
      <c r="F79" s="47">
        <f>(résultats!F83-résultats!F161)/résultats!F162</f>
        <v>3.2271102594910922E-2</v>
      </c>
      <c r="G79" s="47">
        <f>(résultats!G83-résultats!G161)/résultats!G162</f>
        <v>0.12665510663082941</v>
      </c>
      <c r="H79" s="47">
        <f>(résultats!H83-résultats!H161)/résultats!H162</f>
        <v>-2.3765393568540481E-2</v>
      </c>
      <c r="I79" s="47">
        <f>(résultats!I83-résultats!I161)/résultats!I162</f>
        <v>0.12891974580804058</v>
      </c>
      <c r="J79" s="47">
        <f>(résultats!J83-résultats!J161)/résultats!J162</f>
        <v>-5.2752926162417182E-2</v>
      </c>
      <c r="K79" s="47">
        <f>(résultats!K83-résultats!K161)/résultats!K162</f>
        <v>5.5745755478301597E-3</v>
      </c>
      <c r="L79" s="47">
        <f>(résultats!L83-résultats!L161)/résultats!L162</f>
        <v>0.17538671214348092</v>
      </c>
      <c r="M79" s="47">
        <f>(résultats!O83-résultats!O161)/résultats!O162</f>
        <v>0.14051943921247903</v>
      </c>
      <c r="N79" s="47">
        <f>(résultats!P83-résultats!P161)/résultats!P162</f>
        <v>1.3011643411464543E-4</v>
      </c>
      <c r="O79" s="47">
        <f>(résultats!Q83-résultats!Q161)/résultats!Q162</f>
        <v>0.11727679523202252</v>
      </c>
      <c r="P79" s="47">
        <f>(résultats!R83-résultats!R161)/résultats!R162</f>
        <v>-7.0659670550153417E-2</v>
      </c>
      <c r="Q79" s="47">
        <f>(résultats!S83-résultats!S161)/résultats!S162</f>
        <v>-0.19710608022803602</v>
      </c>
      <c r="R79" s="47">
        <f>(résultats!T83-résultats!T161)/résultats!T162</f>
        <v>-0.47435221513460768</v>
      </c>
      <c r="S79" s="47">
        <f>(résultats!U83-résultats!U161)/résultats!U162</f>
        <v>-0.23752460246956364</v>
      </c>
      <c r="T79" s="47">
        <f>(résultats!V83-résultats!V161)/résultats!V162</f>
        <v>-0.2765599529320833</v>
      </c>
      <c r="U79" s="47">
        <f>(résultats!W83-résultats!W161)/résultats!W162</f>
        <v>-0.15554279699460774</v>
      </c>
      <c r="V79" s="47">
        <f>(résultats!X83-résultats!X161)/résultats!X162</f>
        <v>0.10179529501868055</v>
      </c>
      <c r="W79" s="47">
        <f>(résultats!Y83-résultats!Y161)/résultats!Y162</f>
        <v>0.14994298733372427</v>
      </c>
      <c r="X79" s="47">
        <f>(résultats!Z83-résultats!Z161)/résultats!Z162</f>
        <v>-0.21277204870460525</v>
      </c>
      <c r="Y79" s="47">
        <f>(résultats!AA83-résultats!AA161)/résultats!AA162</f>
        <v>-0.24372685908971778</v>
      </c>
      <c r="Z79" s="47">
        <f>(résultats!AB83-résultats!AB161)/résultats!AB162</f>
        <v>-0.39414151561077926</v>
      </c>
      <c r="AA79" s="47">
        <f>(résultats!AC83-résultats!AC161)/résultats!AC162</f>
        <v>-0.15864093659780734</v>
      </c>
      <c r="AB79" s="47">
        <f>(résultats!AD83-résultats!AD161)/résultats!AD162</f>
        <v>0.54733807064659179</v>
      </c>
      <c r="AC79" s="31"/>
      <c r="AD79" s="31">
        <f t="shared" si="4"/>
        <v>0.3168594766288898</v>
      </c>
      <c r="AE79" s="31"/>
      <c r="AF79" s="31"/>
      <c r="AG79" s="31"/>
      <c r="AH79" s="31"/>
      <c r="AI79" s="31"/>
      <c r="AJ79" s="31"/>
    </row>
    <row r="80" spans="1:36">
      <c r="A80" s="117"/>
      <c r="B80" s="119"/>
      <c r="C80" s="6" t="s">
        <v>19</v>
      </c>
      <c r="D80" s="41">
        <f t="shared" si="5"/>
        <v>56389</v>
      </c>
      <c r="E80" s="89">
        <f>(résultats!E84-résultats!E161)/résultats!E162</f>
        <v>-6.1681104652406296E-2</v>
      </c>
      <c r="F80" s="89">
        <f>(résultats!F84-résultats!F161)/résultats!F162</f>
        <v>-5.4388530281477929E-2</v>
      </c>
      <c r="G80" s="89">
        <f>(résultats!G84-résultats!G161)/résultats!G162</f>
        <v>-8.9672074057753293E-2</v>
      </c>
      <c r="H80" s="89">
        <f>(résultats!H84-résultats!H161)/résultats!H162</f>
        <v>-0.22617368621269276</v>
      </c>
      <c r="I80" s="89">
        <f>(résultats!I84-résultats!I161)/résultats!I162</f>
        <v>-0.11299334303073587</v>
      </c>
      <c r="J80" s="89">
        <f>(résultats!J84-résultats!J161)/résultats!J162</f>
        <v>-0.24177370831843784</v>
      </c>
      <c r="K80" s="89">
        <f>(résultats!K84-résultats!K161)/résultats!K162</f>
        <v>0.24036451558297722</v>
      </c>
      <c r="L80" s="89">
        <f>(résultats!L84-résultats!L161)/résultats!L162</f>
        <v>0.43237843547226185</v>
      </c>
      <c r="M80" s="89">
        <f>(résultats!O84-résultats!O161)/résultats!O162</f>
        <v>1.7404558124466795E-2</v>
      </c>
      <c r="N80" s="89">
        <f>(résultats!P84-résultats!P161)/résultats!P162</f>
        <v>-0.18621794778129219</v>
      </c>
      <c r="O80" s="89">
        <f>(résultats!Q84-résultats!Q161)/résultats!Q162</f>
        <v>-0.12902651063626253</v>
      </c>
      <c r="P80" s="89">
        <f>(résultats!R84-résultats!R161)/résultats!R162</f>
        <v>-0.25095957818212794</v>
      </c>
      <c r="Q80" s="89">
        <f>(résultats!S84-résultats!S161)/résultats!S162</f>
        <v>-0.21935406129855436</v>
      </c>
      <c r="R80" s="89">
        <f>(résultats!T84-résultats!T161)/résultats!T162</f>
        <v>-0.23858129028848879</v>
      </c>
      <c r="S80" s="89">
        <f>(résultats!U84-résultats!U161)/résultats!U162</f>
        <v>-0.41593614078050356</v>
      </c>
      <c r="T80" s="89">
        <f>(résultats!V84-résultats!V161)/résultats!V162</f>
        <v>0.43651259454988711</v>
      </c>
      <c r="U80" s="89">
        <f>(résultats!W84-résultats!W161)/résultats!W162</f>
        <v>-0.17934595179344867</v>
      </c>
      <c r="V80" s="89">
        <f>(résultats!X84-résultats!X161)/résultats!X162</f>
        <v>6.7066261097833563E-2</v>
      </c>
      <c r="W80" s="89">
        <f>(résultats!Y84-résultats!Y161)/résultats!Y162</f>
        <v>0.12112682128901441</v>
      </c>
      <c r="X80" s="89">
        <f>(résultats!Z84-résultats!Z161)/résultats!Z162</f>
        <v>-0.1684117511878501</v>
      </c>
      <c r="Y80" s="89">
        <f>(résultats!AA84-résultats!AA161)/résultats!AA162</f>
        <v>0.59741326632038505</v>
      </c>
      <c r="Z80" s="89" t="s">
        <v>12</v>
      </c>
      <c r="AA80" s="89" t="s">
        <v>12</v>
      </c>
      <c r="AB80" s="89" t="s">
        <v>12</v>
      </c>
      <c r="AC80" s="32"/>
      <c r="AD80" s="32">
        <f t="shared" si="4"/>
        <v>-0.1771189834334522</v>
      </c>
      <c r="AE80" s="32"/>
      <c r="AF80" s="32"/>
      <c r="AG80" s="32"/>
      <c r="AH80" s="32"/>
      <c r="AI80" s="32"/>
      <c r="AJ80" s="32"/>
    </row>
    <row r="81" spans="1:36">
      <c r="A81" s="117"/>
      <c r="B81" s="119"/>
      <c r="C81" s="4" t="s">
        <v>23</v>
      </c>
      <c r="D81" s="41">
        <f t="shared" si="5"/>
        <v>56389</v>
      </c>
      <c r="E81" s="48">
        <f>(résultats!E85-résultats!E161)/résultats!E162</f>
        <v>0.32558765690200725</v>
      </c>
      <c r="F81" s="48">
        <f>(résultats!F85-résultats!F161)/résultats!F162</f>
        <v>0.21507172861863277</v>
      </c>
      <c r="G81" s="48">
        <f>(résultats!G85-résultats!G161)/résultats!G162</f>
        <v>-0.20648051843527002</v>
      </c>
      <c r="H81" s="48">
        <f>(résultats!H85-résultats!H161)/résultats!H162</f>
        <v>-0.30467815804583398</v>
      </c>
      <c r="I81" s="48">
        <f>(résultats!I85-résultats!I161)/résultats!I162</f>
        <v>-0.15775457471731583</v>
      </c>
      <c r="J81" s="48">
        <f>(résultats!J85-résultats!J161)/résultats!J162</f>
        <v>-0.24766387433463188</v>
      </c>
      <c r="K81" s="48">
        <f>(résultats!K85-résultats!K161)/résultats!K162</f>
        <v>0.20090123470136353</v>
      </c>
      <c r="L81" s="48">
        <f>(résultats!L85-résultats!L161)/résultats!L162</f>
        <v>0.40634137765627548</v>
      </c>
      <c r="M81" s="48">
        <f>(résultats!O85-résultats!O161)/résultats!O162</f>
        <v>-0.21619803676047836</v>
      </c>
      <c r="N81" s="48">
        <f>(résultats!P85-résultats!P161)/résultats!P162</f>
        <v>-0.32972144321587149</v>
      </c>
      <c r="O81" s="48">
        <f>(résultats!Q85-résultats!Q161)/résultats!Q162</f>
        <v>-0.17202126903546264</v>
      </c>
      <c r="P81" s="48">
        <f>(résultats!R85-résultats!R161)/résultats!R162</f>
        <v>-0.26275212664509973</v>
      </c>
      <c r="Q81" s="48">
        <f>(résultats!S85-résultats!S161)/résultats!S162</f>
        <v>0.15568333389014583</v>
      </c>
      <c r="R81" s="48">
        <f>(résultats!T85-résultats!T161)/résultats!T162</f>
        <v>0.22389244690966925</v>
      </c>
      <c r="S81" s="48">
        <f>(résultats!U85-résultats!U161)/résultats!U162</f>
        <v>-0.38349767926942424</v>
      </c>
      <c r="T81" s="48">
        <f>(résultats!V85-résultats!V161)/résultats!V162</f>
        <v>-0.11290395842802456</v>
      </c>
      <c r="U81" s="48">
        <f>(résultats!W85-résultats!W161)/résultats!W162</f>
        <v>-0.1641119327221908</v>
      </c>
      <c r="V81" s="48">
        <f>(résultats!X85-résultats!X161)/résultats!X162</f>
        <v>-6.0273529945272075E-2</v>
      </c>
      <c r="W81" s="48">
        <f>(résultats!Y85-résultats!Y161)/résultats!Y162</f>
        <v>-5.9598597286800985E-3</v>
      </c>
      <c r="X81" s="48">
        <f>(résultats!Z85-résultats!Z161)/résultats!Z162</f>
        <v>-0.22046863029268579</v>
      </c>
      <c r="Y81" s="48">
        <f>(résultats!AA85-résultats!AA161)/résultats!AA162</f>
        <v>0.14129556933620183</v>
      </c>
      <c r="Z81" s="48" t="s">
        <v>12</v>
      </c>
      <c r="AA81" s="48" t="s">
        <v>12</v>
      </c>
      <c r="AB81" s="48" t="s">
        <v>12</v>
      </c>
      <c r="AC81" s="33"/>
      <c r="AD81" s="33">
        <f t="shared" si="4"/>
        <v>-0.67574042008256907</v>
      </c>
      <c r="AE81" s="33"/>
      <c r="AF81" s="33"/>
      <c r="AG81" s="33"/>
      <c r="AH81" s="33"/>
      <c r="AI81" s="33"/>
      <c r="AJ81" s="33"/>
    </row>
    <row r="82" spans="1:36">
      <c r="A82" s="117"/>
      <c r="B82" s="119"/>
      <c r="C82" s="10" t="s">
        <v>24</v>
      </c>
      <c r="D82" s="41">
        <f t="shared" si="5"/>
        <v>56389</v>
      </c>
      <c r="E82" s="90">
        <f>(résultats!E86-résultats!E161)/résultats!E162</f>
        <v>-6.043486567717022E-2</v>
      </c>
      <c r="F82" s="90">
        <f>(résultats!F86-résultats!F161)/résultats!F162</f>
        <v>0.17468113386442918</v>
      </c>
      <c r="G82" s="90">
        <f>(résultats!G86-résultats!G161)/résultats!G162</f>
        <v>0.22792339673433293</v>
      </c>
      <c r="H82" s="90">
        <f>(résultats!H86-résultats!H161)/résultats!H162</f>
        <v>0.2417624175486266</v>
      </c>
      <c r="I82" s="90">
        <f>(résultats!I86-résultats!I161)/résultats!I162</f>
        <v>0.19639898955665328</v>
      </c>
      <c r="J82" s="90">
        <f>(résultats!J86-résultats!J161)/résultats!J162</f>
        <v>0.25644254185645748</v>
      </c>
      <c r="K82" s="90">
        <f>(résultats!K86-résultats!K161)/résultats!K162</f>
        <v>-7.5673355679021767E-2</v>
      </c>
      <c r="L82" s="90">
        <f>(résultats!L86-résultats!L161)/résultats!L162</f>
        <v>-0.20244876043812204</v>
      </c>
      <c r="M82" s="90">
        <f>(résultats!O86-résultats!O161)/résultats!O162</f>
        <v>0.28053244123413934</v>
      </c>
      <c r="N82" s="90">
        <f>(résultats!P86-résultats!P161)/résultats!P162</f>
        <v>0.20686806579220468</v>
      </c>
      <c r="O82" s="90">
        <f>(résultats!Q86-résultats!Q161)/résultats!Q162</f>
        <v>0.18693496969274176</v>
      </c>
      <c r="P82" s="90">
        <f>(résultats!R86-résultats!R161)/résultats!R162</f>
        <v>0.25122498560894452</v>
      </c>
      <c r="Q82" s="90">
        <f>(résultats!S86-résultats!S161)/résultats!S162</f>
        <v>-0.39415962685260764</v>
      </c>
      <c r="R82" s="90">
        <f>(résultats!T86-résultats!T161)/résultats!T162</f>
        <v>-0.48342032762869391</v>
      </c>
      <c r="S82" s="90">
        <f>(résultats!U86-résultats!U161)/résultats!U162</f>
        <v>-4.289383340308333E-2</v>
      </c>
      <c r="T82" s="90">
        <f>(résultats!V86-résultats!V161)/résultats!V162</f>
        <v>0.29623602783212266</v>
      </c>
      <c r="U82" s="90">
        <f>(résultats!W86-résultats!W161)/résultats!W162</f>
        <v>-0.1498300398428857</v>
      </c>
      <c r="V82" s="90">
        <f>(résultats!X86-résultats!X161)/résultats!X162</f>
        <v>0.20598239678122127</v>
      </c>
      <c r="W82" s="90">
        <f>(résultats!Y86-résultats!Y161)/résultats!Y162</f>
        <v>0.23565260941542554</v>
      </c>
      <c r="X82" s="90">
        <f>(résultats!Z86-résultats!Z161)/résultats!Z162</f>
        <v>-0.15917585328215342</v>
      </c>
      <c r="Y82" s="90">
        <f>(résultats!AA86-résultats!AA161)/résultats!AA162</f>
        <v>0.6740484259351367</v>
      </c>
      <c r="Z82" s="90" t="s">
        <v>12</v>
      </c>
      <c r="AA82" s="90" t="s">
        <v>12</v>
      </c>
      <c r="AB82" s="90" t="s">
        <v>12</v>
      </c>
      <c r="AC82" s="34"/>
      <c r="AD82" s="34">
        <f t="shared" si="4"/>
        <v>0.76485665369497746</v>
      </c>
      <c r="AE82" s="34"/>
      <c r="AF82" s="34"/>
      <c r="AG82" s="34"/>
      <c r="AH82" s="34"/>
      <c r="AI82" s="34"/>
      <c r="AJ82" s="34"/>
    </row>
    <row r="83" spans="1:36">
      <c r="A83" s="117"/>
      <c r="B83" s="119"/>
      <c r="C83" s="11" t="s">
        <v>25</v>
      </c>
      <c r="D83" s="41">
        <f t="shared" si="5"/>
        <v>56389</v>
      </c>
      <c r="E83" s="49">
        <f>(résultats!E87-résultats!E161)/résultats!E162</f>
        <v>-0.54677962576280159</v>
      </c>
      <c r="F83" s="49">
        <f>(résultats!F87-résultats!F161)/résultats!F162</f>
        <v>-0.30128315173675185</v>
      </c>
      <c r="G83" s="49">
        <f>(résultats!G87-résultats!G161)/résultats!G162</f>
        <v>0.56486687417220993</v>
      </c>
      <c r="H83" s="49">
        <f>(résultats!H87-résultats!H161)/résultats!H162</f>
        <v>0.12809233803519909</v>
      </c>
      <c r="I83" s="49">
        <f>(résultats!I87-résultats!I161)/résultats!I162</f>
        <v>0.47407607758219389</v>
      </c>
      <c r="J83" s="49">
        <f>(résultats!J87-résultats!J161)/résultats!J162</f>
        <v>2.2595301447328409E-2</v>
      </c>
      <c r="K83" s="49">
        <f>(résultats!K87-résultats!K161)/résultats!K162</f>
        <v>2.5140403884092083E-2</v>
      </c>
      <c r="L83" s="49">
        <f>(résultats!L87-résultats!L161)/résultats!L162</f>
        <v>0.31511229721705641</v>
      </c>
      <c r="M83" s="49">
        <f>(résultats!O87-résultats!O161)/résultats!O162</f>
        <v>1.3781675273747691</v>
      </c>
      <c r="N83" s="49">
        <f>(résultats!P87-résultats!P161)/résultats!P162</f>
        <v>0.44238414418079025</v>
      </c>
      <c r="O83" s="49">
        <f>(résultats!Q87-résultats!Q161)/résultats!Q162</f>
        <v>0.45501339867793472</v>
      </c>
      <c r="P83" s="49">
        <f>(résultats!R87-résultats!R161)/résultats!R162</f>
        <v>7.5123173741987008E-3</v>
      </c>
      <c r="Q83" s="49">
        <f>(résultats!S87-résultats!S161)/résultats!S162</f>
        <v>-1.1950869453911817</v>
      </c>
      <c r="R83" s="49">
        <f>(résultats!T87-résultats!T161)/résultats!T162</f>
        <v>-0.96403028981501793</v>
      </c>
      <c r="S83" s="49">
        <f>(résultats!U87-résultats!U161)/résultats!U162</f>
        <v>-0.88629383269116391</v>
      </c>
      <c r="T83" s="49">
        <f>(résultats!V87-résultats!V161)/résultats!V162</f>
        <v>-0.47138851781786756</v>
      </c>
      <c r="U83" s="49">
        <f>(résultats!W87-résultats!W161)/résultats!W162</f>
        <v>-0.18743902442505467</v>
      </c>
      <c r="V83" s="49">
        <f>(résultats!X87-résultats!X161)/résultats!X162</f>
        <v>0.49539101278827952</v>
      </c>
      <c r="W83" s="49">
        <f>(résultats!Y87-résultats!Y161)/résultats!Y162</f>
        <v>0.44032127593810833</v>
      </c>
      <c r="X83" s="49">
        <f>(résultats!Z87-résultats!Z161)/résultats!Z162</f>
        <v>-8.3749353718964067E-2</v>
      </c>
      <c r="Y83" s="49">
        <f>(résultats!AA87-résultats!AA161)/résultats!AA162</f>
        <v>1.048452729836121</v>
      </c>
      <c r="Z83" s="49" t="s">
        <v>12</v>
      </c>
      <c r="AA83" s="49" t="s">
        <v>12</v>
      </c>
      <c r="AB83" s="49" t="s">
        <v>12</v>
      </c>
      <c r="AC83" s="35"/>
      <c r="AD83" s="35">
        <f t="shared" si="4"/>
        <v>1.1493972097230305</v>
      </c>
      <c r="AE83" s="35"/>
      <c r="AF83" s="35"/>
      <c r="AG83" s="35"/>
      <c r="AH83" s="35"/>
      <c r="AI83" s="35"/>
      <c r="AJ83" s="35"/>
    </row>
    <row r="84" spans="1:36">
      <c r="A84" s="117"/>
      <c r="B84" s="119"/>
      <c r="C84" s="8" t="s">
        <v>26</v>
      </c>
      <c r="D84" s="41">
        <f t="shared" si="5"/>
        <v>56389</v>
      </c>
      <c r="E84" s="91">
        <f>(résultats!E88-résultats!E161)/résultats!E162</f>
        <v>-0.35703974178320552</v>
      </c>
      <c r="F84" s="91">
        <f>(résultats!F88-résultats!F161)/résultats!F162</f>
        <v>1.1982887887150915</v>
      </c>
      <c r="G84" s="91">
        <f>(résultats!G88-résultats!G161)/résultats!G162</f>
        <v>4.2535437582065434</v>
      </c>
      <c r="H84" s="91">
        <f>(résultats!H88-résultats!H161)/résultats!H162</f>
        <v>3.9256345533686945</v>
      </c>
      <c r="I84" s="91">
        <f>(résultats!I88-résultats!I161)/résultats!I162</f>
        <v>4.3012738521910121</v>
      </c>
      <c r="J84" s="91">
        <f>(résultats!J88-résultats!J161)/résultats!J162</f>
        <v>3.9735962720497153</v>
      </c>
      <c r="K84" s="91">
        <f>(résultats!K88-résultats!K161)/résultats!K162</f>
        <v>-2.2358734536860134</v>
      </c>
      <c r="L84" s="91">
        <f>(résultats!L88-résultats!L161)/résultats!L162</f>
        <v>-2.0057634594033433</v>
      </c>
      <c r="M84" s="91">
        <f>(résultats!O88-résultats!O161)/résultats!O162</f>
        <v>4.3635641235315799</v>
      </c>
      <c r="N84" s="91">
        <f>(résultats!P88-résultats!P161)/résultats!P162</f>
        <v>4.1190159651620517</v>
      </c>
      <c r="O84" s="91">
        <f>(résultats!Q88-résultats!Q161)/résultats!Q162</f>
        <v>4.3054328730951834</v>
      </c>
      <c r="P84" s="91">
        <f>(résultats!R88-résultats!R161)/résultats!R162</f>
        <v>3.8960866312962068</v>
      </c>
      <c r="Q84" s="91">
        <f>(résultats!S88-résultats!S161)/résultats!S162</f>
        <v>-2.1930678105543295</v>
      </c>
      <c r="R84" s="91">
        <f>(résultats!T88-résultats!T161)/résultats!T162</f>
        <v>-2.8592658010780618</v>
      </c>
      <c r="S84" s="91">
        <f>(résultats!U88-résultats!U161)/résultats!U162</f>
        <v>0.41124462775203668</v>
      </c>
      <c r="T84" s="91">
        <f>(résultats!V88-résultats!V161)/résultats!V162</f>
        <v>0.65472058722196569</v>
      </c>
      <c r="U84" s="91">
        <f>(résultats!W88-résultats!W161)/résultats!W162</f>
        <v>-0.11650562312450895</v>
      </c>
      <c r="V84" s="91">
        <f>(résultats!X88-résultats!X161)/résultats!X162</f>
        <v>2.0813502285069569</v>
      </c>
      <c r="W84" s="91">
        <f>(résultats!Y88-résultats!Y161)/résultats!Y162</f>
        <v>1.1097429794382905</v>
      </c>
      <c r="X84" s="91">
        <f>(résultats!Z88-résultats!Z161)/résultats!Z162</f>
        <v>0.91298128491197583</v>
      </c>
      <c r="Y84" s="91">
        <f>(résultats!AA88-résultats!AA161)/résultats!AA162</f>
        <v>2.5257570115662689</v>
      </c>
      <c r="Z84" s="91" t="s">
        <v>12</v>
      </c>
      <c r="AA84" s="91" t="s">
        <v>12</v>
      </c>
      <c r="AB84" s="91" t="s">
        <v>12</v>
      </c>
      <c r="AC84" s="36"/>
      <c r="AD84" s="36">
        <f t="shared" si="4"/>
        <v>8.9903240447908779</v>
      </c>
      <c r="AE84" s="36"/>
      <c r="AF84" s="36"/>
      <c r="AG84" s="36"/>
      <c r="AH84" s="36"/>
      <c r="AI84" s="36"/>
      <c r="AJ84" s="36"/>
    </row>
    <row r="85" spans="1:36">
      <c r="A85" s="117"/>
      <c r="B85" s="119"/>
      <c r="C85" s="19" t="s">
        <v>27</v>
      </c>
      <c r="D85" s="41">
        <f t="shared" si="5"/>
        <v>56389</v>
      </c>
      <c r="E85" s="50">
        <f>(résultats!E89-résultats!E161)/résultats!E162</f>
        <v>0.76488689567250101</v>
      </c>
      <c r="F85" s="50">
        <f>(résultats!F89-résultats!F161)/résultats!F162</f>
        <v>1.0139711450480229</v>
      </c>
      <c r="G85" s="50">
        <f>(résultats!G89-résultats!G161)/résultats!G162</f>
        <v>0.28195373444199501</v>
      </c>
      <c r="H85" s="50">
        <f>(résultats!H89-résultats!H161)/résultats!H162</f>
        <v>0.26944159703135234</v>
      </c>
      <c r="I85" s="50">
        <f>(résultats!I89-résultats!I161)/résultats!I162</f>
        <v>0.38646552611524548</v>
      </c>
      <c r="J85" s="50">
        <f>(résultats!J89-résultats!J161)/résultats!J162</f>
        <v>0.45410733388039815</v>
      </c>
      <c r="K85" s="50">
        <f>(résultats!K89-résultats!K161)/résultats!K162</f>
        <v>-0.75517136010277475</v>
      </c>
      <c r="L85" s="50">
        <f>(résultats!L89-résultats!L161)/résultats!L162</f>
        <v>-0.56140239719897178</v>
      </c>
      <c r="M85" s="50">
        <f>(résultats!O89-résultats!O161)/résultats!O162</f>
        <v>-7.5813647465550846E-2</v>
      </c>
      <c r="N85" s="50">
        <f>(résultats!P89-résultats!P161)/résultats!P162</f>
        <v>-0.15331022175987361</v>
      </c>
      <c r="O85" s="50">
        <f>(résultats!Q89-résultats!Q161)/résultats!Q162</f>
        <v>0.40290863979104957</v>
      </c>
      <c r="P85" s="50">
        <f>(résultats!R89-résultats!R161)/résultats!R162</f>
        <v>0.45993084331210154</v>
      </c>
      <c r="Q85" s="50">
        <f>(résultats!S89-résultats!S161)/résultats!S162</f>
        <v>0.29870606934345922</v>
      </c>
      <c r="R85" s="50">
        <f>(résultats!T89-résultats!T161)/résultats!T162</f>
        <v>0.84505815275425855</v>
      </c>
      <c r="S85" s="50">
        <f>(résultats!U89-résultats!U161)/résultats!U162</f>
        <v>1.1573292425068771</v>
      </c>
      <c r="T85" s="50">
        <f>(résultats!V89-résultats!V161)/résultats!V162</f>
        <v>0.54172001958821048</v>
      </c>
      <c r="U85" s="50">
        <f>(résultats!W89-résultats!W161)/résultats!W162</f>
        <v>-4.6048284919939605E-2</v>
      </c>
      <c r="V85" s="50">
        <f>(résultats!X89-résultats!X161)/résultats!X162</f>
        <v>3.2337227176986567E-2</v>
      </c>
      <c r="W85" s="50">
        <f>(résultats!Y89-résultats!Y161)/résultats!Y162</f>
        <v>9.6005035506447137E-2</v>
      </c>
      <c r="X85" s="50">
        <f>(résultats!Z89-résultats!Z161)/résultats!Z162</f>
        <v>-0.21881269910252302</v>
      </c>
      <c r="Y85" s="50">
        <f>(résultats!AA89-résultats!AA161)/résultats!AA162</f>
        <v>-0.49025201110343636</v>
      </c>
      <c r="Z85" s="50" t="s">
        <v>12</v>
      </c>
      <c r="AA85" s="50" t="s">
        <v>12</v>
      </c>
      <c r="AB85" s="50" t="s">
        <v>12</v>
      </c>
      <c r="AC85" s="38"/>
      <c r="AD85" s="38">
        <f t="shared" si="4"/>
        <v>-0.42498051788935004</v>
      </c>
      <c r="AE85" s="38"/>
      <c r="AF85" s="38"/>
      <c r="AG85" s="38"/>
      <c r="AH85" s="38"/>
      <c r="AI85" s="38"/>
      <c r="AJ85" s="38"/>
    </row>
    <row r="86" spans="1:36">
      <c r="A86" s="117"/>
      <c r="B86" s="120"/>
      <c r="C86" s="21" t="s">
        <v>28</v>
      </c>
      <c r="D86" s="41">
        <f t="shared" si="5"/>
        <v>56389</v>
      </c>
      <c r="E86" s="92">
        <f>(résultats!E90-résultats!E161)/résultats!E162</f>
        <v>0.80725902083050649</v>
      </c>
      <c r="F86" s="92">
        <f>(résultats!F90-résultats!F161)/résultats!F162</f>
        <v>1.1889970556495704</v>
      </c>
      <c r="G86" s="92">
        <f>(résultats!G90-résultats!G161)/résultats!G162</f>
        <v>0.14857598650079512</v>
      </c>
      <c r="H86" s="92">
        <f>(résultats!H90-résultats!H161)/résultats!H162</f>
        <v>0.16339531137048716</v>
      </c>
      <c r="I86" s="92">
        <f>(résultats!I90-résultats!I161)/résultats!I162</f>
        <v>0.26725219549269608</v>
      </c>
      <c r="J86" s="92">
        <f>(résultats!J90-résultats!J161)/résultats!J162</f>
        <v>0.38985097734010776</v>
      </c>
      <c r="K86" s="92">
        <f>(résultats!K90-résultats!K161)/résultats!K162</f>
        <v>-0.90208088472928627</v>
      </c>
      <c r="L86" s="92">
        <f>(résultats!L90-résultats!L161)/résultats!L162</f>
        <v>-0.72935135792041061</v>
      </c>
      <c r="M86" s="92">
        <f>(résultats!O90-résultats!O161)/résultats!O162</f>
        <v>-0.29901739869902039</v>
      </c>
      <c r="N86" s="92">
        <f>(résultats!P90-résultats!P161)/résultats!P162</f>
        <v>-0.42083067682811343</v>
      </c>
      <c r="O86" s="92">
        <f>(résultats!Q90-résultats!Q161)/résultats!Q162</f>
        <v>0.29392192663958833</v>
      </c>
      <c r="P86" s="92">
        <f>(résultats!R90-résultats!R161)/résultats!R162</f>
        <v>0.40653062385713562</v>
      </c>
      <c r="Q86" s="92">
        <f>(résultats!S90-résultats!S161)/résultats!S162</f>
        <v>0.63878235142134876</v>
      </c>
      <c r="R86" s="92">
        <f>(résultats!T90-résultats!T161)/résultats!T162</f>
        <v>1.1080334150826232</v>
      </c>
      <c r="S86" s="92">
        <f>(résultats!U90-résultats!U161)/résultats!U162</f>
        <v>1.789879241972937</v>
      </c>
      <c r="T86" s="92">
        <f>(résultats!V90-résultats!V161)/résultats!V162</f>
        <v>0.48716802142019133</v>
      </c>
      <c r="U86" s="92">
        <f>(résultats!W90-résultats!W161)/résultats!W162</f>
        <v>-9.8674896257011507E-3</v>
      </c>
      <c r="V86" s="92">
        <f>(résultats!X90-résultats!X161)/résultats!X162</f>
        <v>-1.3968151384142756E-2</v>
      </c>
      <c r="W86" s="92">
        <f>(résultats!Y90-résultats!Y161)/résultats!Y162</f>
        <v>4.428371183645495E-2</v>
      </c>
      <c r="X86" s="92">
        <f>(résultats!Z90-résultats!Z161)/résultats!Z162</f>
        <v>-0.21685356924373886</v>
      </c>
      <c r="Y86" s="92">
        <f>(résultats!AA90-résultats!AA161)/résultats!AA162</f>
        <v>-0.43346812777443361</v>
      </c>
      <c r="Z86" s="92" t="s">
        <v>12</v>
      </c>
      <c r="AA86" s="92" t="s">
        <v>12</v>
      </c>
      <c r="AB86" s="92" t="s">
        <v>12</v>
      </c>
      <c r="AC86" s="37"/>
      <c r="AD86" s="37">
        <f t="shared" si="4"/>
        <v>-0.90734097213679954</v>
      </c>
      <c r="AE86" s="37"/>
      <c r="AF86" s="37"/>
      <c r="AG86" s="37"/>
      <c r="AH86" s="37"/>
      <c r="AI86" s="37"/>
      <c r="AJ86" s="37"/>
    </row>
    <row r="87" spans="1:36">
      <c r="A87" s="117"/>
      <c r="B87" s="118">
        <v>7</v>
      </c>
      <c r="C87" s="2" t="s">
        <v>16</v>
      </c>
      <c r="D87" s="41">
        <f>D73+11111+139</f>
        <v>67639</v>
      </c>
      <c r="E87" s="85">
        <f>(résultats!E91-résultats!E161)/résultats!E162</f>
        <v>-9.532955698376272E-2</v>
      </c>
      <c r="F87" s="85">
        <f>(résultats!F91-résultats!F161)/résultats!F162</f>
        <v>-0.18940310053966122</v>
      </c>
      <c r="G87" s="85">
        <f>(résultats!G91-résultats!G161)/résultats!G162</f>
        <v>-5.6739296788320702E-2</v>
      </c>
      <c r="H87" s="85">
        <f>(résultats!H91-résultats!H161)/résultats!H162</f>
        <v>-0.22631105186769376</v>
      </c>
      <c r="I87" s="85">
        <f>(résultats!I91-résultats!I161)/résultats!I162</f>
        <v>-9.0837657999942339E-2</v>
      </c>
      <c r="J87" s="85">
        <f>(résultats!J91-résultats!J161)/résultats!J162</f>
        <v>-0.27634974779011873</v>
      </c>
      <c r="K87" s="85">
        <f>(résultats!K91-résultats!K161)/résultats!K162</f>
        <v>0.13822425918350639</v>
      </c>
      <c r="L87" s="85">
        <f>(résultats!L91-résultats!L161)/résultats!L162</f>
        <v>0.33995681803383726</v>
      </c>
      <c r="M87" s="85">
        <f>(résultats!O91-résultats!O161)/résultats!O162</f>
        <v>2.594646540960803E-2</v>
      </c>
      <c r="N87" s="85">
        <f>(résultats!P91-résultats!P161)/résultats!P162</f>
        <v>-0.18595984796935974</v>
      </c>
      <c r="O87" s="85">
        <f>(résultats!Q91-résultats!Q161)/résultats!Q162</f>
        <v>-0.1039184605116652</v>
      </c>
      <c r="P87" s="85">
        <f>(résultats!R91-résultats!R161)/résultats!R162</f>
        <v>-0.28952640334404783</v>
      </c>
      <c r="Q87" s="85">
        <f>(résultats!S91-résultats!S161)/résultats!S162</f>
        <v>-0.23524547634892201</v>
      </c>
      <c r="R87" s="85">
        <f>(résultats!T91-résultats!T161)/résultats!T162</f>
        <v>-0.27938779651185736</v>
      </c>
      <c r="S87" s="85">
        <f>(résultats!U91-résultats!U161)/résultats!U162</f>
        <v>-0.42404575615827411</v>
      </c>
      <c r="T87" s="85">
        <f>(résultats!V91-résultats!V161)/résultats!V162</f>
        <v>-0.45190566132928889</v>
      </c>
      <c r="U87" s="85">
        <f>(résultats!W91-résultats!W161)/résultats!W162</f>
        <v>-0.16458799581816719</v>
      </c>
      <c r="V87" s="85">
        <f>(résultats!X91-résultats!X161)/résultats!X162</f>
        <v>9.0218950378398222E-2</v>
      </c>
      <c r="W87" s="85">
        <f>(résultats!Y91-résultats!Y161)/résultats!Y162</f>
        <v>0.14181535075701129</v>
      </c>
      <c r="X87" s="85">
        <f>(résultats!Z91-résultats!Z161)/résultats!Z162</f>
        <v>-0.23394930955908141</v>
      </c>
      <c r="Y87" s="85">
        <f>(résultats!AA91-résultats!AA161)/résultats!AA162</f>
        <v>-0.3623728592161703</v>
      </c>
      <c r="Z87" s="85" t="s">
        <v>12</v>
      </c>
      <c r="AA87" s="85" t="s">
        <v>12</v>
      </c>
      <c r="AB87" s="85" t="s">
        <v>12</v>
      </c>
      <c r="AC87" s="25"/>
      <c r="AD87" s="25">
        <f t="shared" si="4"/>
        <v>-0.17609278936769568</v>
      </c>
      <c r="AE87" s="25"/>
      <c r="AF87" s="25"/>
      <c r="AG87" s="25"/>
      <c r="AH87" s="25"/>
      <c r="AI87" s="25"/>
      <c r="AJ87" s="25"/>
    </row>
    <row r="88" spans="1:36">
      <c r="A88" s="117"/>
      <c r="B88" s="119"/>
      <c r="C88" s="1" t="s">
        <v>15</v>
      </c>
      <c r="D88" s="41">
        <f t="shared" ref="D88:D100" si="6">D74+11111+139</f>
        <v>67639</v>
      </c>
      <c r="E88" s="43">
        <f>(résultats!E92-résultats!E161)/résultats!E162</f>
        <v>1.1535435142676581E-2</v>
      </c>
      <c r="F88" s="43">
        <f>(résultats!F92-résultats!F161)/résultats!F162</f>
        <v>-0.17992174026872138</v>
      </c>
      <c r="G88" s="43">
        <f>(résultats!G92-résultats!G161)/résultats!G162</f>
        <v>8.3842496180567369E-2</v>
      </c>
      <c r="H88" s="43">
        <f>(résultats!H92-résultats!H161)/résultats!H162</f>
        <v>-2.7611631908572281E-2</v>
      </c>
      <c r="I88" s="43">
        <f>(résultats!I92-résultats!I161)/résultats!I162</f>
        <v>5.9641055559463946E-2</v>
      </c>
      <c r="J88" s="43">
        <f>(résultats!J92-résultats!J161)/résultats!J162</f>
        <v>-0.1300135453358619</v>
      </c>
      <c r="K88" s="43">
        <f>(résultats!K92-résultats!K161)/résultats!K162</f>
        <v>4.1721614338551642E-2</v>
      </c>
      <c r="L88" s="43">
        <f>(résultats!L92-résultats!L161)/résultats!L162</f>
        <v>0.17081532031319316</v>
      </c>
      <c r="M88" s="43">
        <f>(résultats!O92-résultats!O161)/résultats!O162</f>
        <v>0.13680556647980868</v>
      </c>
      <c r="N88" s="43">
        <f>(résultats!P92-résultats!P161)/résultats!P162</f>
        <v>-2.2582667015962895E-2</v>
      </c>
      <c r="O88" s="43">
        <f>(résultats!Q92-résultats!Q161)/résultats!Q162</f>
        <v>4.7507523204380377E-2</v>
      </c>
      <c r="P88" s="43">
        <f>(résultats!R92-résultats!R161)/résultats!R162</f>
        <v>-0.12739740372105501</v>
      </c>
      <c r="Q88" s="43">
        <f>(résultats!S92-résultats!S161)/résultats!S162</f>
        <v>-0.25749345741944035</v>
      </c>
      <c r="R88" s="43">
        <f>(résultats!T92-résultats!T161)/résultats!T162</f>
        <v>-0.45168193389940509</v>
      </c>
      <c r="S88" s="43">
        <f>(résultats!U92-résultats!U161)/résultats!U162</f>
        <v>-0.29429191011395389</v>
      </c>
      <c r="T88" s="43">
        <f>(résultats!V92-résultats!V161)/résultats!V162</f>
        <v>-0.24149081125264221</v>
      </c>
      <c r="U88" s="43">
        <f>(résultats!W92-résultats!W161)/résultats!W162</f>
        <v>-0.15839917557046876</v>
      </c>
      <c r="V88" s="43">
        <f>(résultats!X92-résultats!X161)/résultats!X162</f>
        <v>0.12494798429924521</v>
      </c>
      <c r="W88" s="43">
        <f>(résultats!Y92-résultats!Y161)/résultats!Y162</f>
        <v>0.16989264074929283</v>
      </c>
      <c r="X88" s="43">
        <f>(résultats!Z92-résultats!Z161)/résultats!Z162</f>
        <v>-0.18018985331506426</v>
      </c>
      <c r="Y88" s="43">
        <f>(résultats!AA92-résultats!AA161)/résultats!AA162</f>
        <v>-0.22572221315613158</v>
      </c>
      <c r="Z88" s="43">
        <f>(résultats!AB92-résultats!AB161)/résultats!AB162</f>
        <v>-0.11811391475182326</v>
      </c>
      <c r="AA88" s="43">
        <f>(résultats!AC92-résultats!AC161)/résultats!AC162</f>
        <v>-0.16093748775289976</v>
      </c>
      <c r="AB88" s="43">
        <f>(résultats!AD92-résultats!AD161)/résultats!AD162</f>
        <v>0.13341484105610138</v>
      </c>
      <c r="AC88" s="26"/>
      <c r="AD88" s="26">
        <f t="shared" si="4"/>
        <v>0.23314155224888394</v>
      </c>
      <c r="AE88" s="26"/>
      <c r="AF88" s="26"/>
      <c r="AG88" s="26"/>
      <c r="AH88" s="26"/>
      <c r="AI88" s="26"/>
      <c r="AJ88" s="26"/>
    </row>
    <row r="89" spans="1:36">
      <c r="A89" s="117"/>
      <c r="B89" s="119"/>
      <c r="C89" s="5" t="s">
        <v>14</v>
      </c>
      <c r="D89" s="41">
        <f t="shared" si="6"/>
        <v>67639</v>
      </c>
      <c r="E89" s="44">
        <f>(résultats!E93-résultats!E161)/résultats!E162</f>
        <v>-0.13739012239795956</v>
      </c>
      <c r="F89" s="44">
        <f>(résultats!F93-résultats!F161)/résultats!F162</f>
        <v>-0.30697196789931491</v>
      </c>
      <c r="G89" s="44">
        <f>(résultats!G93-résultats!G161)/résultats!G162</f>
        <v>-0.60167384566845594</v>
      </c>
      <c r="H89" s="44">
        <f>(résultats!H93-résultats!H161)/résultats!H162</f>
        <v>-0.69692578590153487</v>
      </c>
      <c r="I89" s="44">
        <f>(résultats!I93-résultats!I161)/résultats!I162</f>
        <v>-0.61987492898906549</v>
      </c>
      <c r="J89" s="44">
        <f>(résultats!J93-résultats!J161)/résultats!J162</f>
        <v>-0.71214553732587405</v>
      </c>
      <c r="K89" s="44">
        <f>(résultats!K93-résultats!K161)/résultats!K162</f>
        <v>0.24202263662842333</v>
      </c>
      <c r="L89" s="44">
        <f>(résultats!L93-résultats!L161)/résultats!L162</f>
        <v>0.50214184992578259</v>
      </c>
      <c r="M89" s="44">
        <f>(résultats!O93-résultats!O161)/résultats!O162</f>
        <v>-0.58034325819877586</v>
      </c>
      <c r="N89" s="44">
        <f>(résultats!P93-résultats!P161)/résultats!P162</f>
        <v>-0.65002330982434808</v>
      </c>
      <c r="O89" s="44">
        <f>(résultats!Q93-résultats!Q161)/résultats!Q162</f>
        <v>-0.62685470801821508</v>
      </c>
      <c r="P89" s="44">
        <f>(résultats!R93-résultats!R161)/résultats!R162</f>
        <v>-0.71138813703827586</v>
      </c>
      <c r="Q89" s="44">
        <f>(résultats!S93-résultats!S161)/résultats!S162</f>
        <v>0.3749848615852312</v>
      </c>
      <c r="R89" s="44">
        <f>(résultats!T93-résultats!T161)/résultats!T162</f>
        <v>0.37805035930905739</v>
      </c>
      <c r="S89" s="44">
        <f>(résultats!U93-résultats!U161)/résultats!U162</f>
        <v>-0.10777075642524343</v>
      </c>
      <c r="T89" s="44">
        <f>(résultats!V93-résultats!V161)/résultats!V162</f>
        <v>-0.15966281400061247</v>
      </c>
      <c r="U89" s="44">
        <f>(résultats!W93-résultats!W161)/résultats!W162</f>
        <v>-0.13983271482737281</v>
      </c>
      <c r="V89" s="44">
        <f>(résultats!X93-résultats!X161)/résultats!X162</f>
        <v>-0.1297315977869658</v>
      </c>
      <c r="W89" s="44">
        <f>(résultats!Y93-résultats!Y161)/résultats!Y162</f>
        <v>-6.4331067870528127E-2</v>
      </c>
      <c r="X89" s="44">
        <f>(résultats!Z93-résultats!Z161)/résultats!Z162</f>
        <v>-0.22774539833959828</v>
      </c>
      <c r="Y89" s="44">
        <f>(résultats!AA93-résultats!AA161)/résultats!AA162</f>
        <v>-0.57889026800724497</v>
      </c>
      <c r="Z89" s="44" t="s">
        <v>12</v>
      </c>
      <c r="AA89" s="44" t="s">
        <v>12</v>
      </c>
      <c r="AB89" s="44" t="s">
        <v>12</v>
      </c>
      <c r="AC89" s="27"/>
      <c r="AD89" s="27">
        <f t="shared" si="4"/>
        <v>-1.4396218400420642</v>
      </c>
      <c r="AE89" s="27"/>
      <c r="AF89" s="27"/>
      <c r="AG89" s="27"/>
      <c r="AH89" s="27"/>
      <c r="AI89" s="27"/>
      <c r="AJ89" s="27"/>
    </row>
    <row r="90" spans="1:36">
      <c r="A90" s="117"/>
      <c r="B90" s="119"/>
      <c r="C90" s="12" t="s">
        <v>11</v>
      </c>
      <c r="D90" s="41">
        <f t="shared" si="6"/>
        <v>67639</v>
      </c>
      <c r="E90" s="45">
        <f>(résultats!E94-résultats!E161)/résultats!E162</f>
        <v>-0.12897800931511913</v>
      </c>
      <c r="F90" s="45">
        <f>(résultats!F94-résultats!F161)/résultats!F162</f>
        <v>-0.26430584668008567</v>
      </c>
      <c r="G90" s="45">
        <f>(résultats!G94-résultats!G161)/résultats!G162</f>
        <v>-0.60702542197473841</v>
      </c>
      <c r="H90" s="45">
        <f>(résultats!H94-résultats!H161)/résultats!H162</f>
        <v>-0.60125060719325429</v>
      </c>
      <c r="I90" s="45">
        <f>(résultats!I94-résultats!I161)/résultats!I162</f>
        <v>-0.63100900420758677</v>
      </c>
      <c r="J90" s="45">
        <f>(résultats!J94-résultats!J161)/résultats!J162</f>
        <v>-0.64842465042341979</v>
      </c>
      <c r="K90" s="45">
        <f>(résultats!K94-résultats!K161)/résultats!K162</f>
        <v>0.13490801709261444</v>
      </c>
      <c r="L90" s="45">
        <f>(résultats!L94-résultats!L161)/résultats!L162</f>
        <v>0.33419288920434398</v>
      </c>
      <c r="M90" s="45">
        <f>(résultats!O94-résultats!O161)/résultats!O162</f>
        <v>-0.62825221645021911</v>
      </c>
      <c r="N90" s="45">
        <f>(résultats!P94-résultats!P161)/résultats!P162</f>
        <v>-0.60008099621537125</v>
      </c>
      <c r="O90" s="45">
        <f>(résultats!Q94-résultats!Q161)/résultats!Q162</f>
        <v>-0.63385385473436395</v>
      </c>
      <c r="P90" s="45">
        <f>(résultats!R94-résultats!R161)/résultats!R162</f>
        <v>-0.63848200408795452</v>
      </c>
      <c r="Q90" s="45">
        <f>(résultats!S94-résultats!S161)/résultats!S162</f>
        <v>0.41312425770611266</v>
      </c>
      <c r="R90" s="45">
        <f>(résultats!T94-résultats!T161)/résultats!T162</f>
        <v>0.76344514030752131</v>
      </c>
      <c r="S90" s="45">
        <f>(résultats!U94-résultats!U161)/résultats!U162</f>
        <v>-1.856498726977383E-2</v>
      </c>
      <c r="T90" s="45">
        <f>(résultats!V94-résultats!V161)/résultats!V162</f>
        <v>-0.49476794560416187</v>
      </c>
      <c r="U90" s="45">
        <f>(résultats!W94-résultats!W161)/résultats!W162</f>
        <v>-0.11888593860439291</v>
      </c>
      <c r="V90" s="45">
        <f>(résultats!X94-résultats!X161)/résultats!X162</f>
        <v>-0.1297315977869658</v>
      </c>
      <c r="W90" s="45">
        <f>(résultats!Y94-résultats!Y161)/résultats!Y162</f>
        <v>-6.6547696027813588E-2</v>
      </c>
      <c r="X90" s="45">
        <f>(résultats!Z94-résultats!Z161)/résultats!Z162</f>
        <v>-0.19691242603825745</v>
      </c>
      <c r="Y90" s="45">
        <f>(résultats!AA94-résultats!AA161)/résultats!AA162</f>
        <v>-0.56873380107035021</v>
      </c>
      <c r="Z90" s="45" t="s">
        <v>12</v>
      </c>
      <c r="AA90" s="45" t="s">
        <v>12</v>
      </c>
      <c r="AB90" s="45" t="s">
        <v>12</v>
      </c>
      <c r="AC90" s="28"/>
      <c r="AD90" s="28">
        <f t="shared" si="4"/>
        <v>-1.6411526287565255</v>
      </c>
      <c r="AE90" s="28"/>
      <c r="AF90" s="28"/>
      <c r="AG90" s="28"/>
      <c r="AH90" s="28"/>
      <c r="AI90" s="28"/>
      <c r="AJ90" s="28"/>
    </row>
    <row r="91" spans="1:36">
      <c r="A91" s="117"/>
      <c r="B91" s="119"/>
      <c r="C91" s="3" t="s">
        <v>8</v>
      </c>
      <c r="D91" s="41">
        <f t="shared" si="6"/>
        <v>67639</v>
      </c>
      <c r="E91" s="88">
        <f>(résultats!E95-résultats!E161)/résultats!E162</f>
        <v>2.8117623160275715E-3</v>
      </c>
      <c r="F91" s="88">
        <f>(résultats!F95-résultats!F161)/résultats!F162</f>
        <v>0.16026946625259864</v>
      </c>
      <c r="G91" s="88">
        <f>(résultats!G95-résultats!G161)/résultats!G162</f>
        <v>1.2377246797582961</v>
      </c>
      <c r="H91" s="88">
        <f>(résultats!H95-résultats!H161)/résultats!H162</f>
        <v>0.64335090994440458</v>
      </c>
      <c r="I91" s="88">
        <f>(résultats!I95-résultats!I161)/résultats!I162</f>
        <v>0.78740469938825242</v>
      </c>
      <c r="J91" s="88">
        <f>(résultats!J95-résultats!J161)/résultats!J162</f>
        <v>0.58147261202276035</v>
      </c>
      <c r="K91" s="88">
        <f>(résultats!K95-résultats!K161)/résultats!K162</f>
        <v>-0.56680880934011402</v>
      </c>
      <c r="L91" s="88">
        <f>(résultats!L95-résultats!L161)/résultats!L162</f>
        <v>-0.24021243207962906</v>
      </c>
      <c r="M91" s="88">
        <f>(résultats!O95-résultats!O161)/résultats!O162</f>
        <v>0.80196017290101251</v>
      </c>
      <c r="N91" s="88">
        <f>(résultats!P95-résultats!P161)/résultats!P162</f>
        <v>0.65763938733265914</v>
      </c>
      <c r="O91" s="88">
        <f>(résultats!Q95-résultats!Q161)/résultats!Q162</f>
        <v>0.78686183107692842</v>
      </c>
      <c r="P91" s="88">
        <f>(résultats!R95-résultats!R161)/résultats!R162</f>
        <v>0.57029129685236368</v>
      </c>
      <c r="Q91" s="88">
        <f>(résultats!S95-résultats!S161)/résultats!S162</f>
        <v>-0.62299600357791451</v>
      </c>
      <c r="R91" s="88">
        <f>(résultats!T95-résultats!T161)/résultats!T162</f>
        <v>-0.84614482739195518</v>
      </c>
      <c r="S91" s="88">
        <f>(résultats!U95-résultats!U161)/résultats!U162</f>
        <v>0.50045039690750703</v>
      </c>
      <c r="T91" s="88">
        <f>(résultats!V95-résultats!V161)/résultats!V162</f>
        <v>0.33909831210699498</v>
      </c>
      <c r="U91" s="88">
        <f>(résultats!W95-résultats!W161)/résultats!W162</f>
        <v>-0.14411728269116433</v>
      </c>
      <c r="V91" s="88">
        <f>(résultats!X95-résultats!X161)/résultats!X162</f>
        <v>0.6227308038313849</v>
      </c>
      <c r="W91" s="88">
        <f>(résultats!Y95-résultats!Y161)/résultats!Y162</f>
        <v>0.5186421374955249</v>
      </c>
      <c r="X91" s="88">
        <f>(résultats!Z95-résultats!Z161)/résultats!Z162</f>
        <v>0.20900062232220867</v>
      </c>
      <c r="Y91" s="88">
        <f>(résultats!AA95-résultats!AA161)/résultats!AA162</f>
        <v>0.96489270640075941</v>
      </c>
      <c r="Z91" s="88" t="s">
        <v>12</v>
      </c>
      <c r="AA91" s="88" t="s">
        <v>12</v>
      </c>
      <c r="AB91" s="88" t="s">
        <v>12</v>
      </c>
      <c r="AC91" s="29"/>
      <c r="AD91" s="29">
        <f t="shared" si="4"/>
        <v>1.7006834544928269</v>
      </c>
      <c r="AE91" s="29"/>
      <c r="AF91" s="29"/>
      <c r="AG91" s="29"/>
      <c r="AH91" s="29"/>
      <c r="AI91" s="29"/>
      <c r="AJ91" s="29"/>
    </row>
    <row r="92" spans="1:36">
      <c r="A92" s="117"/>
      <c r="B92" s="119"/>
      <c r="C92" s="9" t="s">
        <v>7</v>
      </c>
      <c r="D92" s="41">
        <f t="shared" si="6"/>
        <v>67639</v>
      </c>
      <c r="E92" s="46">
        <f>(résultats!E96-résultats!E161)/résultats!E162</f>
        <v>0.24738616120598361</v>
      </c>
      <c r="F92" s="46">
        <f>(résultats!F96-résultats!F161)/résultats!F162</f>
        <v>0.3148156386689196</v>
      </c>
      <c r="G92" s="46">
        <f>(résultats!G96-résultats!G161)/résultats!G162</f>
        <v>0.30130174108778635</v>
      </c>
      <c r="H92" s="46">
        <f>(résultats!H96-résultats!H161)/résultats!H162</f>
        <v>0.28791727762900349</v>
      </c>
      <c r="I92" s="46">
        <f>(résultats!I96-résultats!I161)/résultats!I162</f>
        <v>0.31606218180419299</v>
      </c>
      <c r="J92" s="46">
        <f>(résultats!J96-résultats!J161)/résultats!J162</f>
        <v>0.28474593699920397</v>
      </c>
      <c r="K92" s="46">
        <f>(résultats!K96-résultats!K161)/résultats!K162</f>
        <v>-0.25872991909625564</v>
      </c>
      <c r="L92" s="46">
        <f>(résultats!L96-résultats!L161)/résultats!L162</f>
        <v>-5.7953027367724994E-2</v>
      </c>
      <c r="M92" s="46">
        <f>(résultats!O96-résultats!O161)/résultats!O162</f>
        <v>0.23763721117180034</v>
      </c>
      <c r="N92" s="46">
        <f>(résultats!P96-résultats!P161)/résultats!P162</f>
        <v>0.19770552246859346</v>
      </c>
      <c r="O92" s="46">
        <f>(résultats!Q96-résultats!Q161)/résultats!Q162</f>
        <v>0.31136424464649948</v>
      </c>
      <c r="P92" s="46">
        <f>(résultats!R96-résultats!R161)/résultats!R162</f>
        <v>0.27384591190583929</v>
      </c>
      <c r="Q92" s="46">
        <f>(résultats!S96-résultats!S161)/résultats!S162</f>
        <v>-0.20346264624818669</v>
      </c>
      <c r="R92" s="46">
        <f>(résultats!T96-résultats!T161)/résultats!T162</f>
        <v>-0.30659213399410312</v>
      </c>
      <c r="S92" s="46">
        <f>(résultats!U96-résultats!U161)/résultats!U162</f>
        <v>0.20850424330778652</v>
      </c>
      <c r="T92" s="46">
        <f>(résultats!V96-résultats!V161)/résultats!V162</f>
        <v>0.27285660004582835</v>
      </c>
      <c r="U92" s="46">
        <f>(résultats!W96-résultats!W161)/résultats!W162</f>
        <v>-0.12555082194806838</v>
      </c>
      <c r="V92" s="46">
        <f>(résultats!X96-résultats!X161)/résultats!X162</f>
        <v>0.1596770182200922</v>
      </c>
      <c r="W92" s="46">
        <f>(résultats!Y96-résultats!Y161)/résultats!Y162</f>
        <v>0.19870880679400268</v>
      </c>
      <c r="X92" s="46">
        <f>(résultats!Z96-résultats!Z161)/résultats!Z162</f>
        <v>-0.15472116515087045</v>
      </c>
      <c r="Y92" s="46">
        <f>(résultats!AA96-résultats!AA161)/résultats!AA162</f>
        <v>0.11313445646572091</v>
      </c>
      <c r="Z92" s="46" t="s">
        <v>12</v>
      </c>
      <c r="AA92" s="46" t="s">
        <v>12</v>
      </c>
      <c r="AB92" s="46" t="s">
        <v>12</v>
      </c>
      <c r="AC92" s="30"/>
      <c r="AD92" s="30">
        <f t="shared" si="4"/>
        <v>0.63582704294803394</v>
      </c>
      <c r="AE92" s="30"/>
      <c r="AF92" s="30"/>
      <c r="AG92" s="30"/>
      <c r="AH92" s="30"/>
      <c r="AI92" s="30"/>
      <c r="AJ92" s="30"/>
    </row>
    <row r="93" spans="1:36">
      <c r="A93" s="117"/>
      <c r="B93" s="119"/>
      <c r="C93" s="7" t="s">
        <v>18</v>
      </c>
      <c r="D93" s="41">
        <f t="shared" si="6"/>
        <v>67639</v>
      </c>
      <c r="E93" s="47">
        <f>(résultats!E97-résultats!E161)/résultats!E162</f>
        <v>0.26888378352879488</v>
      </c>
      <c r="F93" s="47">
        <f>(résultats!F97-résultats!F161)/résultats!F162</f>
        <v>0.41607656636255547</v>
      </c>
      <c r="G93" s="47">
        <f>(résultats!G97-résultats!G161)/résultats!G162</f>
        <v>1.1297669192719388</v>
      </c>
      <c r="H93" s="47">
        <f>(résultats!H97-résultats!H161)/résultats!H162</f>
        <v>1.0289363035325518</v>
      </c>
      <c r="I93" s="47">
        <f>(résultats!I97-résultats!I161)/résultats!I162</f>
        <v>1.1246884527250682</v>
      </c>
      <c r="J93" s="47">
        <f>(résultats!J97-résultats!J161)/résultats!J162</f>
        <v>1.0207872020357223</v>
      </c>
      <c r="K93" s="47">
        <f>(résultats!K97-résultats!K161)/résultats!K162</f>
        <v>-0.64109263217609258</v>
      </c>
      <c r="L93" s="47">
        <f>(résultats!L97-résultats!L161)/résultats!L162</f>
        <v>-0.39802482830782093</v>
      </c>
      <c r="M93" s="47">
        <f>(résultats!O97-résultats!O161)/résultats!O162</f>
        <v>1.0842145005839356</v>
      </c>
      <c r="N93" s="47">
        <f>(résultats!P97-résultats!P161)/résultats!P162</f>
        <v>0.9993635383315489</v>
      </c>
      <c r="O93" s="47">
        <f>(résultats!Q97-résultats!Q161)/résultats!Q162</f>
        <v>1.1210433123813055</v>
      </c>
      <c r="P93" s="47">
        <f>(résultats!R97-résultats!R161)/résultats!R162</f>
        <v>1.0014239019797446</v>
      </c>
      <c r="Q93" s="47">
        <f>(résultats!S97-résultats!S161)/résultats!S162</f>
        <v>-0.75648389000101091</v>
      </c>
      <c r="R93" s="47">
        <f>(résultats!T97-résultats!T161)/résultats!T162</f>
        <v>-1.1045860334732767</v>
      </c>
      <c r="S93" s="47">
        <f>(résultats!U97-résultats!U161)/résultats!U162</f>
        <v>0.24905232019663642</v>
      </c>
      <c r="T93" s="47">
        <f>(résultats!V97-résultats!V161)/résultats!V162</f>
        <v>0.1014074629463384</v>
      </c>
      <c r="U93" s="47">
        <f>(résultats!W97-résultats!W161)/résultats!W162</f>
        <v>-0.12745507433197528</v>
      </c>
      <c r="V93" s="47">
        <f>(résultats!X97-résultats!X161)/résultats!X162</f>
        <v>0.49539101278827952</v>
      </c>
      <c r="W93" s="47">
        <f>(résultats!Y97-résultats!Y161)/résultats!Y162</f>
        <v>0.44253790409539379</v>
      </c>
      <c r="X93" s="47">
        <f>(résultats!Z97-résultats!Z161)/résultats!Z162</f>
        <v>0.20179382319882416</v>
      </c>
      <c r="Y93" s="47">
        <f>(résultats!AA97-résultats!AA161)/résultats!AA162</f>
        <v>8.0818425302874128E-2</v>
      </c>
      <c r="Z93" s="47" t="s">
        <v>12</v>
      </c>
      <c r="AA93" s="47" t="s">
        <v>12</v>
      </c>
      <c r="AB93" s="47" t="s">
        <v>12</v>
      </c>
      <c r="AC93" s="31"/>
      <c r="AD93" s="31">
        <f t="shared" si="4"/>
        <v>2.5511268972787171</v>
      </c>
      <c r="AE93" s="31"/>
      <c r="AF93" s="31"/>
      <c r="AG93" s="31"/>
      <c r="AH93" s="31"/>
      <c r="AI93" s="31"/>
      <c r="AJ93" s="31"/>
    </row>
    <row r="94" spans="1:36">
      <c r="A94" s="117"/>
      <c r="B94" s="119"/>
      <c r="C94" s="6" t="s">
        <v>19</v>
      </c>
      <c r="D94" s="41">
        <f t="shared" si="6"/>
        <v>67639</v>
      </c>
      <c r="E94" s="89">
        <f>(résultats!E98-résultats!E161)/résultats!E162</f>
        <v>-0.1280433300836934</v>
      </c>
      <c r="F94" s="89">
        <f>(résultats!F98-résultats!F161)/résultats!F162</f>
        <v>-1.4377189938111582E-2</v>
      </c>
      <c r="G94" s="89">
        <f>(résultats!G98-résultats!G161)/résultats!G162</f>
        <v>0.11337908079408936</v>
      </c>
      <c r="H94" s="89">
        <f>(résultats!H98-résultats!H161)/résultats!H162</f>
        <v>-9.2310855414100085E-2</v>
      </c>
      <c r="I94" s="89">
        <f>(résultats!I98-résultats!I161)/résultats!I162</f>
        <v>7.8197847590333464E-2</v>
      </c>
      <c r="J94" s="89">
        <f>(résultats!J98-résultats!J161)/résultats!J162</f>
        <v>-0.11792723065328313</v>
      </c>
      <c r="K94" s="89">
        <f>(résultats!K98-résultats!K161)/résultats!K162</f>
        <v>9.0138748865573812E-2</v>
      </c>
      <c r="L94" s="89">
        <f>(résultats!L98-résultats!L161)/résultats!L162</f>
        <v>0.26363445008468644</v>
      </c>
      <c r="M94" s="89">
        <f>(résultats!O98-résultats!O161)/résultats!O162</f>
        <v>0.21869646023518297</v>
      </c>
      <c r="N94" s="89">
        <f>(résultats!P98-résultats!P161)/résultats!P162</f>
        <v>-4.1940152910915129E-2</v>
      </c>
      <c r="O94" s="89">
        <f>(résultats!Q98-résultats!Q161)/résultats!Q162</f>
        <v>6.4727646077444481E-2</v>
      </c>
      <c r="P94" s="89">
        <f>(résultats!R98-résultats!R161)/résultats!R162</f>
        <v>-0.12509822760563247</v>
      </c>
      <c r="Q94" s="89">
        <f>(résultats!S98-résultats!S161)/résultats!S162</f>
        <v>-0.39415962685260764</v>
      </c>
      <c r="R94" s="89">
        <f>(résultats!T98-résultats!T161)/résultats!T162</f>
        <v>-0.33379647147634883</v>
      </c>
      <c r="S94" s="89">
        <f>(résultats!U98-résultats!U161)/résultats!U162</f>
        <v>-0.21319575633625343</v>
      </c>
      <c r="T94" s="89">
        <f>(résultats!V98-résultats!V161)/résultats!V162</f>
        <v>0.8963080076803378</v>
      </c>
      <c r="U94" s="89">
        <f>(résultats!W98-résultats!W161)/résultats!W162</f>
        <v>-0.16839650058598166</v>
      </c>
      <c r="V94" s="89">
        <f>(résultats!X98-résultats!X161)/résultats!X162</f>
        <v>0.17125336286037426</v>
      </c>
      <c r="W94" s="89">
        <f>(résultats!Y98-résultats!Y161)/résultats!Y162</f>
        <v>0.20905307152800112</v>
      </c>
      <c r="X94" s="89">
        <f>(résultats!Z98-résultats!Z161)/résultats!Z162</f>
        <v>-0.10903145808708321</v>
      </c>
      <c r="Y94" s="89">
        <f>(résultats!AA98-résultats!AA161)/résultats!AA162</f>
        <v>0.82824206034072101</v>
      </c>
      <c r="Z94" s="89" t="s">
        <v>12</v>
      </c>
      <c r="AA94" s="89" t="s">
        <v>12</v>
      </c>
      <c r="AB94" s="89" t="s">
        <v>12</v>
      </c>
      <c r="AC94" s="32"/>
      <c r="AD94" s="32">
        <f t="shared" si="4"/>
        <v>0.12525722645591286</v>
      </c>
      <c r="AE94" s="32"/>
      <c r="AF94" s="32"/>
      <c r="AG94" s="32"/>
      <c r="AH94" s="32"/>
      <c r="AI94" s="32"/>
      <c r="AJ94" s="32"/>
    </row>
    <row r="95" spans="1:36">
      <c r="A95" s="117"/>
      <c r="B95" s="119"/>
      <c r="C95" s="4" t="s">
        <v>23</v>
      </c>
      <c r="D95" s="41">
        <f t="shared" si="6"/>
        <v>67639</v>
      </c>
      <c r="E95" s="48">
        <f>(résultats!E99-résultats!E161)/résultats!E162</f>
        <v>0.2025215580975078</v>
      </c>
      <c r="F95" s="48">
        <f>(résultats!F99-résultats!F161)/résultats!F162</f>
        <v>0.20919328525064895</v>
      </c>
      <c r="G95" s="48">
        <f>(résultats!G99-résultats!G161)/résultats!G162</f>
        <v>-8.6790456046677678E-2</v>
      </c>
      <c r="H95" s="48">
        <f>(résultats!H99-résultats!H161)/résultats!H162</f>
        <v>-0.19492299969993801</v>
      </c>
      <c r="I95" s="48">
        <f>(résultats!I99-résultats!I161)/résultats!I162</f>
        <v>-6.3958425906745095E-2</v>
      </c>
      <c r="J95" s="48">
        <f>(résultats!J99-résultats!J161)/résultats!J162</f>
        <v>-0.1560220706021698</v>
      </c>
      <c r="K95" s="48">
        <f>(résultats!K99-résultats!K161)/résultats!K162</f>
        <v>0.1422037496925766</v>
      </c>
      <c r="L95" s="48">
        <f>(résultats!L99-résultats!L161)/résultats!L162</f>
        <v>0.34651577152946739</v>
      </c>
      <c r="M95" s="48">
        <f>(résultats!O99-résultats!O161)/résultats!O162</f>
        <v>-6.9314370183378382E-2</v>
      </c>
      <c r="N95" s="48">
        <f>(résultats!P99-résultats!P161)/résultats!P162</f>
        <v>-7.7816026769559954E-2</v>
      </c>
      <c r="O95" s="48">
        <f>(résultats!Q99-résultats!Q161)/résultats!Q162</f>
        <v>-7.6477361481684505E-2</v>
      </c>
      <c r="P95" s="48">
        <f>(résultats!R99-résultats!R161)/résultats!R162</f>
        <v>-0.1819842947194644</v>
      </c>
      <c r="Q95" s="48">
        <f>(résultats!S99-résultats!S161)/résultats!S162</f>
        <v>-6.4090996236151193E-3</v>
      </c>
      <c r="R95" s="48">
        <f>(résultats!T99-résultats!T161)/résultats!T162</f>
        <v>-9.349149038318684E-2</v>
      </c>
      <c r="S95" s="48">
        <f>(résultats!U99-résultats!U161)/résultats!U162</f>
        <v>-0.26185344860287385</v>
      </c>
      <c r="T95" s="48">
        <f>(résultats!V99-résultats!V161)/résultats!V162</f>
        <v>0.13647660462577951</v>
      </c>
      <c r="U95" s="48">
        <f>(résultats!W99-résultats!W161)/résultats!W162</f>
        <v>-0.16268374343426029</v>
      </c>
      <c r="V95" s="48">
        <f>(résultats!X99-résultats!X161)/résultats!X162</f>
        <v>9.184537896421905E-3</v>
      </c>
      <c r="W95" s="48">
        <f>(résultats!Y99-résultats!Y161)/résultats!Y162</f>
        <v>6.6449993409308974E-2</v>
      </c>
      <c r="X95" s="48">
        <f>(résultats!Z99-résultats!Z161)/résultats!Z162</f>
        <v>-0.18732668351492077</v>
      </c>
      <c r="Y95" s="48">
        <f>(résultats!AA99-résultats!AA161)/résultats!AA162</f>
        <v>0.18422972502398458</v>
      </c>
      <c r="Z95" s="48" t="s">
        <v>12</v>
      </c>
      <c r="AA95" s="48" t="s">
        <v>12</v>
      </c>
      <c r="AB95" s="48" t="s">
        <v>12</v>
      </c>
      <c r="AC95" s="33"/>
      <c r="AD95" s="33">
        <f t="shared" si="4"/>
        <v>-0.14168129314497896</v>
      </c>
      <c r="AE95" s="33"/>
      <c r="AF95" s="33"/>
      <c r="AG95" s="33"/>
      <c r="AH95" s="33"/>
      <c r="AI95" s="33"/>
      <c r="AJ95" s="33"/>
    </row>
    <row r="96" spans="1:36">
      <c r="A96" s="117"/>
      <c r="B96" s="119"/>
      <c r="C96" s="10" t="s">
        <v>24</v>
      </c>
      <c r="D96" s="41">
        <f t="shared" si="6"/>
        <v>67639</v>
      </c>
      <c r="E96" s="90">
        <f>(résultats!E100-résultats!E161)/résultats!E162</f>
        <v>-4.0495042073403584E-2</v>
      </c>
      <c r="F96" s="90">
        <f>(résultats!F100-résultats!F161)/résultats!F162</f>
        <v>0.30590316001423568</v>
      </c>
      <c r="G96" s="90">
        <f>(résultats!G100-résultats!G161)/résultats!G162</f>
        <v>1.4926449588094941</v>
      </c>
      <c r="H96" s="90">
        <f>(résultats!H100-résultats!H161)/résultats!H162</f>
        <v>1.3369787848725663</v>
      </c>
      <c r="I96" s="90">
        <f>(résultats!I100-résultats!I161)/résultats!I162</f>
        <v>1.4556741433120131</v>
      </c>
      <c r="J96" s="90">
        <f>(résultats!J100-résultats!J161)/résultats!J162</f>
        <v>1.2790365587976518</v>
      </c>
      <c r="K96" s="90">
        <f>(résultats!K100-résultats!K161)/résultats!K162</f>
        <v>-0.76445683795727215</v>
      </c>
      <c r="L96" s="90">
        <f>(résultats!L100-résultats!L161)/résultats!L162</f>
        <v>-0.60433372917036954</v>
      </c>
      <c r="M96" s="90">
        <f>(résultats!O100-résultats!O161)/résultats!O162</f>
        <v>1.5363785057865129</v>
      </c>
      <c r="N96" s="90">
        <f>(résultats!P100-résultats!P161)/résultats!P162</f>
        <v>1.4134846865775608</v>
      </c>
      <c r="O96" s="90">
        <f>(résultats!Q100-résultats!Q161)/résultats!Q162</f>
        <v>1.4507808910087614</v>
      </c>
      <c r="P96" s="90">
        <f>(résultats!R100-résultats!R161)/résultats!R162</f>
        <v>1.2469165775296569</v>
      </c>
      <c r="Q96" s="90">
        <f>(résultats!S100-résultats!S161)/résultats!S162</f>
        <v>-1.1188081531494143</v>
      </c>
      <c r="R96" s="90">
        <f>(résultats!T100-résultats!T161)/résultats!T162</f>
        <v>-1.3086185645901132</v>
      </c>
      <c r="S96" s="90">
        <f>(résultats!U100-résultats!U161)/résultats!U162</f>
        <v>0.18417539717447631</v>
      </c>
      <c r="T96" s="90">
        <f>(résultats!V100-résultats!V161)/résultats!V162</f>
        <v>1.1223091429478476</v>
      </c>
      <c r="U96" s="90">
        <f>(résultats!W100-résultats!W161)/résultats!W162</f>
        <v>-0.13364389457967438</v>
      </c>
      <c r="V96" s="90">
        <f>(résultats!X100-résultats!X161)/résultats!X162</f>
        <v>0.73849425023420823</v>
      </c>
      <c r="W96" s="90">
        <f>(résultats!Y100-résultats!Y161)/résultats!Y162</f>
        <v>0.59031311458108515</v>
      </c>
      <c r="X96" s="90">
        <f>(résultats!Z100-résultats!Z161)/résultats!Z162</f>
        <v>0.18245907733058547</v>
      </c>
      <c r="Y96" s="90">
        <f>(résultats!AA100-résultats!AA161)/résultats!AA162</f>
        <v>1.2645084810391547</v>
      </c>
      <c r="Z96" s="90" t="s">
        <v>12</v>
      </c>
      <c r="AA96" s="90" t="s">
        <v>12</v>
      </c>
      <c r="AB96" s="90" t="s">
        <v>12</v>
      </c>
      <c r="AC96" s="34"/>
      <c r="AD96" s="34">
        <f t="shared" si="4"/>
        <v>3.2701543954603296</v>
      </c>
      <c r="AE96" s="34"/>
      <c r="AF96" s="34"/>
      <c r="AG96" s="34"/>
      <c r="AH96" s="34"/>
      <c r="AI96" s="34"/>
      <c r="AJ96" s="34"/>
    </row>
    <row r="97" spans="1:36">
      <c r="A97" s="117"/>
      <c r="B97" s="119"/>
      <c r="C97" s="11" t="s">
        <v>25</v>
      </c>
      <c r="D97" s="41">
        <f t="shared" si="6"/>
        <v>67639</v>
      </c>
      <c r="E97" s="49" t="s">
        <v>12</v>
      </c>
      <c r="F97" s="49" t="s">
        <v>12</v>
      </c>
      <c r="G97" s="49" t="s">
        <v>12</v>
      </c>
      <c r="H97" s="49" t="s">
        <v>12</v>
      </c>
      <c r="I97" s="49" t="s">
        <v>12</v>
      </c>
      <c r="J97" s="49" t="s">
        <v>12</v>
      </c>
      <c r="K97" s="49" t="s">
        <v>12</v>
      </c>
      <c r="L97" s="49" t="s">
        <v>12</v>
      </c>
      <c r="M97" s="49" t="s">
        <v>12</v>
      </c>
      <c r="N97" s="49" t="s">
        <v>12</v>
      </c>
      <c r="O97" s="49" t="s">
        <v>12</v>
      </c>
      <c r="P97" s="49" t="s">
        <v>12</v>
      </c>
      <c r="Q97" s="49" t="s">
        <v>12</v>
      </c>
      <c r="R97" s="49" t="s">
        <v>12</v>
      </c>
      <c r="S97" s="49" t="s">
        <v>12</v>
      </c>
      <c r="T97" s="49" t="s">
        <v>12</v>
      </c>
      <c r="U97" s="49" t="s">
        <v>12</v>
      </c>
      <c r="V97" s="49" t="s">
        <v>12</v>
      </c>
      <c r="W97" s="49" t="s">
        <v>12</v>
      </c>
      <c r="X97" s="49" t="s">
        <v>12</v>
      </c>
      <c r="Y97" s="49" t="s">
        <v>12</v>
      </c>
      <c r="Z97" s="49" t="s">
        <v>12</v>
      </c>
      <c r="AA97" s="49" t="s">
        <v>12</v>
      </c>
      <c r="AB97" s="49" t="s">
        <v>12</v>
      </c>
      <c r="AC97" s="51" t="s">
        <v>12</v>
      </c>
      <c r="AD97" s="51" t="s">
        <v>12</v>
      </c>
      <c r="AE97" s="51" t="s">
        <v>12</v>
      </c>
      <c r="AF97" s="51" t="s">
        <v>12</v>
      </c>
      <c r="AG97" s="51" t="s">
        <v>12</v>
      </c>
      <c r="AH97" s="51" t="s">
        <v>12</v>
      </c>
      <c r="AI97" s="51"/>
      <c r="AJ97" s="51"/>
    </row>
    <row r="98" spans="1:36">
      <c r="A98" s="117"/>
      <c r="B98" s="119"/>
      <c r="C98" s="8" t="s">
        <v>26</v>
      </c>
      <c r="D98" s="41">
        <f t="shared" si="6"/>
        <v>67639</v>
      </c>
      <c r="E98" s="91" t="s">
        <v>12</v>
      </c>
      <c r="F98" s="91" t="s">
        <v>12</v>
      </c>
      <c r="G98" s="91" t="s">
        <v>12</v>
      </c>
      <c r="H98" s="91" t="s">
        <v>12</v>
      </c>
      <c r="I98" s="91" t="s">
        <v>12</v>
      </c>
      <c r="J98" s="91" t="s">
        <v>12</v>
      </c>
      <c r="K98" s="91" t="s">
        <v>12</v>
      </c>
      <c r="L98" s="91" t="s">
        <v>12</v>
      </c>
      <c r="M98" s="91" t="s">
        <v>12</v>
      </c>
      <c r="N98" s="91" t="s">
        <v>12</v>
      </c>
      <c r="O98" s="91" t="s">
        <v>12</v>
      </c>
      <c r="P98" s="91" t="s">
        <v>12</v>
      </c>
      <c r="Q98" s="91" t="s">
        <v>12</v>
      </c>
      <c r="R98" s="91" t="s">
        <v>12</v>
      </c>
      <c r="S98" s="91" t="s">
        <v>12</v>
      </c>
      <c r="T98" s="91" t="s">
        <v>12</v>
      </c>
      <c r="U98" s="91" t="s">
        <v>12</v>
      </c>
      <c r="V98" s="91" t="s">
        <v>12</v>
      </c>
      <c r="W98" s="91" t="s">
        <v>12</v>
      </c>
      <c r="X98" s="91" t="s">
        <v>12</v>
      </c>
      <c r="Y98" s="91" t="s">
        <v>12</v>
      </c>
      <c r="Z98" s="91" t="s">
        <v>12</v>
      </c>
      <c r="AA98" s="91" t="s">
        <v>12</v>
      </c>
      <c r="AB98" s="91" t="s">
        <v>12</v>
      </c>
      <c r="AC98" s="51" t="s">
        <v>12</v>
      </c>
      <c r="AD98" s="51" t="s">
        <v>12</v>
      </c>
      <c r="AE98" s="51" t="s">
        <v>12</v>
      </c>
      <c r="AF98" s="51" t="s">
        <v>12</v>
      </c>
      <c r="AG98" s="51" t="s">
        <v>12</v>
      </c>
      <c r="AH98" s="51" t="s">
        <v>12</v>
      </c>
      <c r="AI98" s="51"/>
      <c r="AJ98" s="51"/>
    </row>
    <row r="99" spans="1:36">
      <c r="A99" s="117"/>
      <c r="B99" s="119"/>
      <c r="C99" s="19" t="s">
        <v>27</v>
      </c>
      <c r="D99" s="41">
        <f t="shared" si="6"/>
        <v>67639</v>
      </c>
      <c r="E99" s="50">
        <f>(résultats!E103-résultats!E161)/résultats!E162</f>
        <v>0.3657788638533509</v>
      </c>
      <c r="F99" s="50">
        <f>(résultats!F103-résultats!F161)/résultats!F162</f>
        <v>0.6273212731990947</v>
      </c>
      <c r="G99" s="50">
        <f>(résultats!G103-résultats!G161)/résultats!G162</f>
        <v>0.28195373444199501</v>
      </c>
      <c r="H99" s="50">
        <f>(résultats!H103-résultats!H161)/résultats!H162</f>
        <v>0.55440664833117836</v>
      </c>
      <c r="I99" s="50">
        <f>(résultats!I103-résultats!I161)/résultats!I162</f>
        <v>0.31797409371040319</v>
      </c>
      <c r="J99" s="50">
        <f>(résultats!J103-résultats!J161)/résultats!J162</f>
        <v>0.61283583366742522</v>
      </c>
      <c r="K99" s="50">
        <f>(résultats!K103-résultats!K161)/résultats!K162</f>
        <v>-0.33069237246860972</v>
      </c>
      <c r="L99" s="50">
        <f>(résultats!L103-résultats!L161)/résultats!L162</f>
        <v>-0.26485819672987582</v>
      </c>
      <c r="M99" s="50">
        <f>(résultats!O103-résultats!O161)/résultats!O162</f>
        <v>0.16354545015503291</v>
      </c>
      <c r="N99" s="50">
        <f>(résultats!P103-résultats!P161)/résultats!P162</f>
        <v>0.28804045664503725</v>
      </c>
      <c r="O99" s="50">
        <f>(résultats!Q103-résultats!Q161)/résultats!Q162</f>
        <v>0.31647473272495652</v>
      </c>
      <c r="P99" s="50">
        <f>(résultats!R103-résultats!R161)/résultats!R162</f>
        <v>0.6070781146991181</v>
      </c>
      <c r="Q99" s="50">
        <f>(résultats!S103-résultats!S161)/résultats!S162</f>
        <v>-0.10493587293590091</v>
      </c>
      <c r="R99" s="50">
        <f>(résultats!T103-résultats!T161)/résultats!T162</f>
        <v>-0.17057044658288092</v>
      </c>
      <c r="S99" s="50">
        <f>(résultats!U103-résultats!U161)/résultats!U162</f>
        <v>0.37069655086318676</v>
      </c>
      <c r="T99" s="50">
        <f>(résultats!V103-résultats!V161)/résultats!V162</f>
        <v>0.34689145470242616</v>
      </c>
      <c r="U99" s="50">
        <f>(résultats!W103-résultats!W161)/résultats!W162</f>
        <v>-0.1126971183566938</v>
      </c>
      <c r="V99" s="50">
        <f>(résultats!X103-résultats!X161)/résultats!X162</f>
        <v>0.12494798429924521</v>
      </c>
      <c r="W99" s="50">
        <f>(résultats!Y103-résultats!Y161)/résultats!Y162</f>
        <v>0.16915376469686452</v>
      </c>
      <c r="X99" s="50">
        <f>(résultats!Z103-résultats!Z161)/résultats!Z162</f>
        <v>-0.14254657245699759</v>
      </c>
      <c r="Y99" s="50">
        <f>(résultats!AA103-résultats!AA161)/résultats!AA162</f>
        <v>-0.36698943509657705</v>
      </c>
      <c r="Z99" s="50" t="s">
        <v>12</v>
      </c>
      <c r="AA99" s="50" t="s">
        <v>12</v>
      </c>
      <c r="AB99" s="50" t="s">
        <v>12</v>
      </c>
      <c r="AC99" s="38"/>
      <c r="AD99" s="38">
        <f t="shared" si="4"/>
        <v>0.87789666271693234</v>
      </c>
      <c r="AE99" s="38"/>
      <c r="AF99" s="38"/>
      <c r="AG99" s="38"/>
      <c r="AH99" s="38"/>
      <c r="AI99" s="38"/>
      <c r="AJ99" s="38"/>
    </row>
    <row r="100" spans="1:36">
      <c r="A100" s="117"/>
      <c r="B100" s="120"/>
      <c r="C100" s="21" t="s">
        <v>28</v>
      </c>
      <c r="D100" s="41">
        <f t="shared" si="6"/>
        <v>67639</v>
      </c>
      <c r="E100" s="92">
        <f>(résultats!E104-résultats!E161)/résultats!E162</f>
        <v>-8.1932487999981513E-2</v>
      </c>
      <c r="F100" s="92">
        <f>(résultats!F104-résultats!F161)/résultats!F162</f>
        <v>0.20464223232059767</v>
      </c>
      <c r="G100" s="92">
        <f>(résultats!G104-résultats!G161)/résultats!G162</f>
        <v>-2.7717286819633705E-2</v>
      </c>
      <c r="H100" s="92">
        <f>(résultats!H104-résultats!H161)/résultats!H162</f>
        <v>0.14821640649286302</v>
      </c>
      <c r="I100" s="92">
        <f>(résultats!I104-résultats!I161)/résultats!I162</f>
        <v>-5.6873105313140812E-2</v>
      </c>
      <c r="J100" s="92">
        <f>(résultats!J104-résultats!J161)/résultats!J162</f>
        <v>0.19226268097871502</v>
      </c>
      <c r="K100" s="92">
        <f>(résultats!K104-résultats!K161)/résultats!K162</f>
        <v>-4.6158801070083737E-2</v>
      </c>
      <c r="L100" s="92">
        <f>(résultats!L104-résultats!L161)/résultats!L162</f>
        <v>-0.11002714299969775</v>
      </c>
      <c r="M100" s="92">
        <f>(résultats!O104-résultats!O161)/résultats!O162</f>
        <v>-1.0635181007191829E-2</v>
      </c>
      <c r="N100" s="92">
        <f>(résultats!P104-résultats!P161)/résultats!P162</f>
        <v>4.8781930983427702E-2</v>
      </c>
      <c r="O100" s="92">
        <f>(résultats!Q104-résultats!Q161)/résultats!Q162</f>
        <v>-6.3034555884002669E-2</v>
      </c>
      <c r="P100" s="92">
        <f>(résultats!R104-résultats!R161)/résultats!R162</f>
        <v>0.18580971677661129</v>
      </c>
      <c r="Q100" s="92">
        <f>(résultats!S104-résultats!S161)/résultats!S162</f>
        <v>-0.29563285354032182</v>
      </c>
      <c r="R100" s="92">
        <f>(résultats!T104-résultats!T161)/résultats!T162</f>
        <v>-7.9889321642063971E-2</v>
      </c>
      <c r="S100" s="92">
        <f>(résultats!U104-résultats!U161)/résultats!U162</f>
        <v>7.0640781885696488E-2</v>
      </c>
      <c r="T100" s="92">
        <f>(résultats!V104-résultats!V161)/résultats!V162</f>
        <v>0.20661488798466174</v>
      </c>
      <c r="U100" s="92">
        <f>(résultats!W104-résultats!W161)/résultats!W162</f>
        <v>-0.13554814696358128</v>
      </c>
      <c r="V100" s="92">
        <f>(résultats!X104-résultats!X161)/résultats!X162</f>
        <v>0.10179529501868055</v>
      </c>
      <c r="W100" s="92">
        <f>(résultats!Y104-résultats!Y161)/résultats!Y162</f>
        <v>0.15215961549100973</v>
      </c>
      <c r="X100" s="92">
        <f>(résultats!Z104-résultats!Z161)/résultats!Z162</f>
        <v>-0.1959561840833747</v>
      </c>
      <c r="Y100" s="92">
        <f>(résultats!AA104-résultats!AA161)/résultats!AA162</f>
        <v>-0.34575318604670613</v>
      </c>
      <c r="Z100" s="92" t="s">
        <v>12</v>
      </c>
      <c r="AA100" s="92" t="s">
        <v>12</v>
      </c>
      <c r="AB100" s="92" t="s">
        <v>12</v>
      </c>
      <c r="AC100" s="37"/>
      <c r="AD100" s="37">
        <f t="shared" si="4"/>
        <v>0.25647815453241501</v>
      </c>
      <c r="AE100" s="37"/>
      <c r="AF100" s="37"/>
      <c r="AG100" s="37"/>
      <c r="AH100" s="37"/>
      <c r="AI100" s="37"/>
      <c r="AJ100" s="37"/>
    </row>
    <row r="101" spans="1:36">
      <c r="A101" s="117"/>
      <c r="B101" s="118">
        <v>8</v>
      </c>
      <c r="C101" s="2" t="s">
        <v>16</v>
      </c>
      <c r="D101" s="41">
        <f>D87+11111+139</f>
        <v>78889</v>
      </c>
      <c r="E101" s="85">
        <f>(résultats!E105-résultats!E161)/résultats!E162</f>
        <v>-0.13770168214176814</v>
      </c>
      <c r="F101" s="85">
        <f>(résultats!F105-résultats!F161)/résultats!F162</f>
        <v>-0.18181801232290978</v>
      </c>
      <c r="G101" s="85">
        <f>(résultats!G105-résultats!G161)/résultats!G162</f>
        <v>0.11409948529685812</v>
      </c>
      <c r="H101" s="85">
        <f>(résultats!H105-résultats!H161)/résultats!H162</f>
        <v>-0.13489420846444797</v>
      </c>
      <c r="I101" s="85">
        <f>(résultats!I105-résultats!I161)/résultats!I162</f>
        <v>6.0653244215693493E-2</v>
      </c>
      <c r="J101" s="85">
        <f>(résultats!J105-résultats!J161)/résultats!J162</f>
        <v>-0.18310153514414909</v>
      </c>
      <c r="K101" s="85">
        <f>(résultats!K105-résultats!K161)/résultats!K162</f>
        <v>0.12396441819267118</v>
      </c>
      <c r="L101" s="85">
        <f>(résultats!L105-résultats!L161)/résultats!L162</f>
        <v>0.34989462636054963</v>
      </c>
      <c r="M101" s="85">
        <f>(résultats!O105-résultats!O161)/résultats!O162</f>
        <v>0.23410903207576386</v>
      </c>
      <c r="N101" s="85">
        <f>(résultats!P105-résultats!P161)/résultats!P162</f>
        <v>-5.5232293225449015E-2</v>
      </c>
      <c r="O101" s="85">
        <f>(résultats!Q105-résultats!Q161)/résultats!Q162</f>
        <v>5.6395328558219673E-2</v>
      </c>
      <c r="P101" s="85">
        <f>(résultats!R105-résultats!R161)/résultats!R162</f>
        <v>-0.19889436421353662</v>
      </c>
      <c r="Q101" s="85">
        <f>(résultats!S105-résultats!S161)/résultats!S162</f>
        <v>-0.44819043802386127</v>
      </c>
      <c r="R101" s="85">
        <f>(résultats!T105-résultats!T161)/résultats!T162</f>
        <v>-0.44714787765236841</v>
      </c>
      <c r="S101" s="85">
        <f>(résultats!U105-résultats!U161)/résultats!U162</f>
        <v>-0.54568998682482373</v>
      </c>
      <c r="T101" s="85">
        <f>(résultats!V105-résultats!V161)/résultats!V162</f>
        <v>-0.51814737339045547</v>
      </c>
      <c r="U101" s="85">
        <f>(résultats!W105-résultats!W161)/résultats!W162</f>
        <v>-0.17410925773770369</v>
      </c>
      <c r="V101" s="85">
        <f>(résultats!X105-résultats!X161)/résultats!X162</f>
        <v>0.17125336286037426</v>
      </c>
      <c r="W101" s="85">
        <f>(résultats!Y105-résultats!Y161)/résultats!Y162</f>
        <v>0.21126969968528658</v>
      </c>
      <c r="X101" s="85">
        <f>(résultats!Z105-résultats!Z161)/résultats!Z162</f>
        <v>-0.21272540275558655</v>
      </c>
      <c r="Y101" s="85">
        <f>(résultats!AA105-résultats!AA161)/résultats!AA162</f>
        <v>-9.4149800564540212E-2</v>
      </c>
      <c r="Z101" s="85" t="s">
        <v>12</v>
      </c>
      <c r="AA101" s="85" t="s">
        <v>12</v>
      </c>
      <c r="AB101" s="85" t="s">
        <v>12</v>
      </c>
      <c r="AC101" s="25"/>
      <c r="AD101" s="25">
        <f t="shared" si="4"/>
        <v>0.14312372935788648</v>
      </c>
      <c r="AE101" s="25"/>
      <c r="AF101" s="25"/>
      <c r="AG101" s="25"/>
      <c r="AH101" s="25"/>
      <c r="AI101" s="25"/>
      <c r="AJ101" s="25"/>
    </row>
    <row r="102" spans="1:36">
      <c r="A102" s="117"/>
      <c r="B102" s="119"/>
      <c r="C102" s="1" t="s">
        <v>15</v>
      </c>
      <c r="D102" s="41">
        <f t="shared" ref="D102:D114" si="7">D88+11111+139</f>
        <v>78889</v>
      </c>
      <c r="E102" s="43">
        <f>(résultats!E106-résultats!E161)/résultats!E162</f>
        <v>-6.3862022859068113E-2</v>
      </c>
      <c r="F102" s="43">
        <f>(résultats!F106-résultats!F161)/résultats!F162</f>
        <v>-0.10938041985292959</v>
      </c>
      <c r="G102" s="43">
        <f>(résultats!G106-résultats!G161)/résultats!G162</f>
        <v>0.25046176617810051</v>
      </c>
      <c r="H102" s="43">
        <f>(résultats!H106-résultats!H161)/résultats!H162</f>
        <v>0.21518216330590961</v>
      </c>
      <c r="I102" s="43">
        <f>(résultats!I106-résultats!I161)/résultats!I162</f>
        <v>0.21191921561883414</v>
      </c>
      <c r="J102" s="43">
        <f>(résultats!J106-résultats!J161)/résultats!J162</f>
        <v>0.1303776899774112</v>
      </c>
      <c r="K102" s="43">
        <f>(résultats!K106-résultats!K161)/résultats!K162</f>
        <v>1.595085038759715E-3</v>
      </c>
      <c r="L102" s="43">
        <f>(résultats!L106-résultats!L161)/résultats!L162</f>
        <v>0.20718769878896029</v>
      </c>
      <c r="M102" s="43">
        <f>(résultats!O106-résultats!O161)/résultats!O162</f>
        <v>0.3369833067707238</v>
      </c>
      <c r="N102" s="43">
        <f>(résultats!P106-résultats!P161)/résultats!P162</f>
        <v>0.28339466003024927</v>
      </c>
      <c r="O102" s="43">
        <f>(résultats!Q106-résultats!Q161)/résultats!Q162</f>
        <v>0.19860021421965726</v>
      </c>
      <c r="P102" s="43">
        <f>(résultats!R106-résultats!R161)/résultats!R162</f>
        <v>0.11631526451369077</v>
      </c>
      <c r="Q102" s="43">
        <f>(résultats!S106-résultats!S161)/résultats!S162</f>
        <v>-0.45772528705408277</v>
      </c>
      <c r="R102" s="43">
        <f>(résultats!T106-résultats!T161)/résultats!T162</f>
        <v>-0.68745285874552398</v>
      </c>
      <c r="S102" s="43">
        <f>(résultats!U106-résultats!U161)/résultats!U162</f>
        <v>-0.32673037162503393</v>
      </c>
      <c r="T102" s="43">
        <f>(résultats!V106-résultats!V161)/résultats!V162</f>
        <v>-0.32721537980238752</v>
      </c>
      <c r="U102" s="43">
        <f>(résultats!W106-résultats!W161)/résultats!W162</f>
        <v>-0.16363586962621374</v>
      </c>
      <c r="V102" s="43">
        <f>(résultats!X106-résultats!X161)/résultats!X162</f>
        <v>0.21755874142150361</v>
      </c>
      <c r="W102" s="43">
        <f>(résultats!Y106-résultats!Y161)/résultats!Y162</f>
        <v>0.24304136993971021</v>
      </c>
      <c r="X102" s="43">
        <f>(résultats!Z106-résultats!Z161)/résultats!Z162</f>
        <v>-0.15350837047638505</v>
      </c>
      <c r="Y102" s="43">
        <f>(résultats!AA106-résultats!AA161)/résultats!AA162</f>
        <v>-0.15231865665766503</v>
      </c>
      <c r="Z102" s="43">
        <f>(résultats!AB106-résultats!AB161)/résultats!AB162</f>
        <v>3.0421117100529981E-2</v>
      </c>
      <c r="AA102" s="43">
        <f>(résultats!AC106-résultats!AC161)/résultats!AC162</f>
        <v>-0.16010817761356086</v>
      </c>
      <c r="AB102" s="43">
        <f>(résultats!AD106-résultats!AD161)/résultats!AD162</f>
        <v>0.75461469551001803</v>
      </c>
      <c r="AC102" s="26"/>
      <c r="AD102" s="26">
        <f t="shared" si="4"/>
        <v>0.88221731179052831</v>
      </c>
      <c r="AE102" s="26"/>
      <c r="AF102" s="26"/>
      <c r="AG102" s="26"/>
      <c r="AH102" s="26"/>
      <c r="AI102" s="26"/>
      <c r="AJ102" s="26"/>
    </row>
    <row r="103" spans="1:36">
      <c r="A103" s="117"/>
      <c r="B103" s="119"/>
      <c r="C103" s="5" t="s">
        <v>14</v>
      </c>
      <c r="D103" s="41">
        <f t="shared" si="7"/>
        <v>78889</v>
      </c>
      <c r="E103" s="44">
        <f>(résultats!E107-résultats!E161)/résultats!E162</f>
        <v>-0.17633509037406711</v>
      </c>
      <c r="F103" s="44">
        <f>(résultats!F107-résultats!F161)/résultats!F162</f>
        <v>-0.30583420466680206</v>
      </c>
      <c r="G103" s="44">
        <f>(résultats!G107-résultats!G161)/résultats!G162</f>
        <v>-0.42743887092736649</v>
      </c>
      <c r="H103" s="44">
        <f>(résultats!H107-résultats!H161)/résultats!H162</f>
        <v>-0.52260876970511205</v>
      </c>
      <c r="I103" s="44">
        <f>(résultats!I107-résultats!I161)/résultats!I162</f>
        <v>-0.4580372093986429</v>
      </c>
      <c r="J103" s="44">
        <f>(résultats!J107-résultats!J161)/résultats!J162</f>
        <v>-0.54117773153117321</v>
      </c>
      <c r="K103" s="44">
        <f>(résultats!K107-résultats!K161)/résultats!K162</f>
        <v>0.17868241269238769</v>
      </c>
      <c r="L103" s="44">
        <f>(résultats!L107-résultats!L161)/résultats!L162</f>
        <v>0.43436599713760449</v>
      </c>
      <c r="M103" s="44">
        <f>(résultats!O107-résultats!O161)/résultats!O162</f>
        <v>-0.3870361824632999</v>
      </c>
      <c r="N103" s="44">
        <f>(résultats!P107-résultats!P161)/résultats!P162</f>
        <v>-0.51258515997018717</v>
      </c>
      <c r="O103" s="44">
        <f>(résultats!Q107-résultats!Q161)/résultats!Q162</f>
        <v>-0.46576323597986868</v>
      </c>
      <c r="P103" s="44">
        <f>(résultats!R107-résultats!R161)/résultats!R162</f>
        <v>-0.54288077786927325</v>
      </c>
      <c r="Q103" s="44">
        <f>(résultats!S107-résultats!S161)/résultats!S162</f>
        <v>0.13979191883977365</v>
      </c>
      <c r="R103" s="44">
        <f>(résultats!T107-résultats!T161)/résultats!T162</f>
        <v>0.18761999693334375</v>
      </c>
      <c r="S103" s="44">
        <f>(résultats!U107-résultats!U161)/résultats!U162</f>
        <v>-0.13209960255855366</v>
      </c>
      <c r="T103" s="44">
        <f>(résultats!V107-résultats!V161)/résultats!V162</f>
        <v>5.464860737374979E-2</v>
      </c>
      <c r="U103" s="44">
        <f>(résultats!W107-résultats!W161)/résultats!W162</f>
        <v>-0.14268909340323382</v>
      </c>
      <c r="V103" s="44">
        <f>(résultats!X107-résultats!X161)/résultats!X162</f>
        <v>-4.8697185304989746E-2</v>
      </c>
      <c r="W103" s="44">
        <f>(résultats!Y107-résultats!Y161)/résultats!Y162</f>
        <v>1.7684173949030543E-2</v>
      </c>
      <c r="X103" s="44">
        <f>(résultats!Z107-résultats!Z161)/résultats!Z162</f>
        <v>-0.21634046380453351</v>
      </c>
      <c r="Y103" s="44">
        <f>(résultats!AA107-résultats!AA161)/résultats!AA162</f>
        <v>-0.455627692000386</v>
      </c>
      <c r="Z103" s="44">
        <f>(résultats!AB107-résultats!AB161)/résultats!AB162</f>
        <v>-2.1728485220427078</v>
      </c>
      <c r="AA103" s="44">
        <f>(résultats!AC107-résultats!AC161)/résultats!AC162</f>
        <v>-0.16687024490355518</v>
      </c>
      <c r="AB103" s="44">
        <f>(résultats!AD107-résultats!AD161)/résultats!AD162</f>
        <v>5.5156768660052036</v>
      </c>
      <c r="AC103" s="27"/>
      <c r="AD103" s="27">
        <f t="shared" si="4"/>
        <v>-1.0333232941402086</v>
      </c>
      <c r="AE103" s="27"/>
      <c r="AF103" s="27"/>
      <c r="AG103" s="27"/>
      <c r="AH103" s="27"/>
      <c r="AI103" s="27"/>
      <c r="AJ103" s="27"/>
    </row>
    <row r="104" spans="1:36">
      <c r="A104" s="117"/>
      <c r="B104" s="119"/>
      <c r="C104" s="12" t="s">
        <v>11</v>
      </c>
      <c r="D104" s="41">
        <f t="shared" si="7"/>
        <v>78889</v>
      </c>
      <c r="E104" s="45">
        <f>(résultats!E108-résultats!E161)/résultats!E162</f>
        <v>0.76488689567250101</v>
      </c>
      <c r="F104" s="45">
        <f>(résultats!F108-résultats!F161)/résultats!F162</f>
        <v>1.5280504989383785</v>
      </c>
      <c r="G104" s="45">
        <f>(résultats!G108-résultats!G161)/résultats!G162</f>
        <v>0.29358312141526322</v>
      </c>
      <c r="H104" s="45">
        <f>(résultats!H108-résultats!H161)/résultats!H162</f>
        <v>0.40412862175995173</v>
      </c>
      <c r="I104" s="45">
        <f>(résultats!I108-résultats!I161)/résultats!I162</f>
        <v>0.40603450680234326</v>
      </c>
      <c r="J104" s="45">
        <f>(résultats!J108-résultats!J161)/résultats!J162</f>
        <v>0.69927593234662611</v>
      </c>
      <c r="K104" s="45">
        <f>(résultats!K108-résultats!K161)/résultats!K162</f>
        <v>-1.6349703868163989</v>
      </c>
      <c r="L104" s="45">
        <f>(résultats!L108-résultats!L161)/résultats!L162</f>
        <v>-1.5806240191865892</v>
      </c>
      <c r="M104" s="45">
        <f>(résultats!O108-résultats!O161)/résultats!O162</f>
        <v>-0.38926450610290203</v>
      </c>
      <c r="N104" s="45">
        <f>(résultats!P108-résultats!P161)/résultats!P162</f>
        <v>-0.57620676361159662</v>
      </c>
      <c r="O104" s="45">
        <f>(résultats!Q108-résultats!Q161)/résultats!Q162</f>
        <v>0.47290010695253748</v>
      </c>
      <c r="P104" s="45">
        <f>(résultats!R108-résultats!R161)/résultats!R162</f>
        <v>0.76683377123522312</v>
      </c>
      <c r="Q104" s="45">
        <f>(résultats!S108-résultats!S161)/résultats!S162</f>
        <v>0.81994448299554812</v>
      </c>
      <c r="R104" s="45">
        <f>(résultats!T108-résultats!T161)/résultats!T162</f>
        <v>2.4818524579359806</v>
      </c>
      <c r="S104" s="45">
        <f>(résultats!U108-résultats!U161)/résultats!U162</f>
        <v>2.9090061641051985</v>
      </c>
      <c r="T104" s="45">
        <f>(résultats!V108-résultats!V161)/résultats!V162</f>
        <v>1.4457245606582494</v>
      </c>
      <c r="U104" s="45">
        <f>(résultats!W108-résultats!W161)/résultats!W162</f>
        <v>8.96296974334541E-2</v>
      </c>
      <c r="V104" s="45">
        <f>(résultats!X108-résultats!X161)/résultats!X162</f>
        <v>6.7066261097833563E-2</v>
      </c>
      <c r="W104" s="45">
        <f>(résultats!Y108-résultats!Y161)/résultats!Y162</f>
        <v>0.11817131707930063</v>
      </c>
      <c r="X104" s="45">
        <f>(résultats!Z108-résultats!Z161)/résultats!Z162</f>
        <v>-0.19234112303442777</v>
      </c>
      <c r="Y104" s="45">
        <f>(résultats!AA108-résultats!AA161)/résultats!AA162</f>
        <v>-0.22803050109633513</v>
      </c>
      <c r="Z104" s="45" t="s">
        <v>12</v>
      </c>
      <c r="AA104" s="45" t="s">
        <v>12</v>
      </c>
      <c r="AB104" s="45" t="s">
        <v>12</v>
      </c>
      <c r="AC104" s="28"/>
      <c r="AD104" s="28">
        <f t="shared" si="4"/>
        <v>-1.8323977500500483</v>
      </c>
      <c r="AE104" s="28"/>
      <c r="AF104" s="28"/>
      <c r="AG104" s="28"/>
      <c r="AH104" s="28"/>
      <c r="AI104" s="28"/>
      <c r="AJ104" s="28"/>
    </row>
    <row r="105" spans="1:36">
      <c r="A105" s="117"/>
      <c r="B105" s="119"/>
      <c r="C105" s="3" t="s">
        <v>8</v>
      </c>
      <c r="D105" s="41">
        <f t="shared" si="7"/>
        <v>78889</v>
      </c>
      <c r="E105" s="88" t="s">
        <v>12</v>
      </c>
      <c r="F105" s="88" t="s">
        <v>12</v>
      </c>
      <c r="G105" s="88" t="s">
        <v>12</v>
      </c>
      <c r="H105" s="88" t="s">
        <v>12</v>
      </c>
      <c r="I105" s="88" t="s">
        <v>12</v>
      </c>
      <c r="J105" s="88" t="s">
        <v>12</v>
      </c>
      <c r="K105" s="88" t="s">
        <v>12</v>
      </c>
      <c r="L105" s="88" t="s">
        <v>12</v>
      </c>
      <c r="M105" s="88" t="s">
        <v>12</v>
      </c>
      <c r="N105" s="88" t="s">
        <v>12</v>
      </c>
      <c r="O105" s="88" t="s">
        <v>12</v>
      </c>
      <c r="P105" s="88" t="s">
        <v>12</v>
      </c>
      <c r="Q105" s="88" t="s">
        <v>12</v>
      </c>
      <c r="R105" s="88" t="s">
        <v>12</v>
      </c>
      <c r="S105" s="88" t="s">
        <v>12</v>
      </c>
      <c r="T105" s="88" t="s">
        <v>12</v>
      </c>
      <c r="U105" s="88" t="s">
        <v>12</v>
      </c>
      <c r="V105" s="88" t="s">
        <v>12</v>
      </c>
      <c r="W105" s="88" t="s">
        <v>12</v>
      </c>
      <c r="X105" s="88" t="s">
        <v>12</v>
      </c>
      <c r="Y105" s="88" t="s">
        <v>12</v>
      </c>
      <c r="Z105" s="88" t="s">
        <v>12</v>
      </c>
      <c r="AA105" s="88" t="s">
        <v>12</v>
      </c>
      <c r="AB105" s="88" t="s">
        <v>12</v>
      </c>
      <c r="AC105" s="51" t="s">
        <v>12</v>
      </c>
      <c r="AD105" s="51" t="s">
        <v>12</v>
      </c>
      <c r="AE105" s="51" t="s">
        <v>12</v>
      </c>
      <c r="AF105" s="51" t="s">
        <v>12</v>
      </c>
      <c r="AG105" s="51" t="s">
        <v>12</v>
      </c>
      <c r="AH105" s="51" t="s">
        <v>12</v>
      </c>
      <c r="AI105" s="51"/>
      <c r="AJ105" s="51"/>
    </row>
    <row r="106" spans="1:36">
      <c r="A106" s="117"/>
      <c r="B106" s="119"/>
      <c r="C106" s="9" t="s">
        <v>7</v>
      </c>
      <c r="D106" s="41">
        <f t="shared" si="7"/>
        <v>78889</v>
      </c>
      <c r="E106" s="46">
        <f>(résultats!E110-résultats!E161)/résultats!E162</f>
        <v>0.17821989808041577</v>
      </c>
      <c r="F106" s="46">
        <f>(résultats!F110-résultats!F161)/résultats!F162</f>
        <v>0.31254011220389399</v>
      </c>
      <c r="G106" s="46">
        <f>(résultats!G110-résultats!G161)/résultats!G162</f>
        <v>0.88585853762020672</v>
      </c>
      <c r="H106" s="46">
        <f>(résultats!H110-résultats!H161)/résultats!H162</f>
        <v>0.59067118125147411</v>
      </c>
      <c r="I106" s="46">
        <f>(résultats!I110-résultats!I161)/résultats!I162</f>
        <v>0.88491220660499725</v>
      </c>
      <c r="J106" s="46">
        <f>(résultats!J110-résultats!J161)/résultats!J162</f>
        <v>0.57749483757026543</v>
      </c>
      <c r="K106" s="46">
        <f>(résultats!K110-résultats!K161)/résultats!K162</f>
        <v>-0.56680880934011402</v>
      </c>
      <c r="L106" s="46">
        <f>(résultats!L110-résultats!L161)/résultats!L162</f>
        <v>-0.15057340097268393</v>
      </c>
      <c r="M106" s="46">
        <f>(résultats!O110-résultats!O161)/résultats!O162</f>
        <v>1.5064818302885188</v>
      </c>
      <c r="N106" s="46">
        <f>(résultats!P110-résultats!P161)/résultats!P162</f>
        <v>0.52755708211857966</v>
      </c>
      <c r="O106" s="46">
        <f>(résultats!Q110-résultats!Q161)/résultats!Q162</f>
        <v>0.88229464106378364</v>
      </c>
      <c r="P106" s="46">
        <f>(résultats!R110-résultats!R161)/résultats!R162</f>
        <v>0.56324543456316656</v>
      </c>
      <c r="Q106" s="46">
        <f>(résultats!S110-résultats!S161)/résultats!S162</f>
        <v>-0.62617428658798979</v>
      </c>
      <c r="R106" s="46">
        <f>(résultats!T110-résultats!T161)/résultats!T162</f>
        <v>-0.80533832116858661</v>
      </c>
      <c r="S106" s="46">
        <f>(résultats!U110-résultats!U161)/résultats!U162</f>
        <v>0.41124462775203668</v>
      </c>
      <c r="T106" s="46">
        <f>(résultats!V110-résultats!V161)/résultats!V162</f>
        <v>0.3819605963818673</v>
      </c>
      <c r="U106" s="46">
        <f>(résultats!W110-résultats!W161)/résultats!W162</f>
        <v>-0.12126625408427687</v>
      </c>
      <c r="V106" s="46">
        <f>(résultats!X110-résultats!X161)/résultats!X162</f>
        <v>0.41435660030630295</v>
      </c>
      <c r="W106" s="46">
        <f>(résultats!Y110-résultats!Y161)/résultats!Y162</f>
        <v>0.39303320858268703</v>
      </c>
      <c r="X106" s="46">
        <f>(résultats!Z110-résultats!Z161)/résultats!Z162</f>
        <v>8.3530726183997806E-3</v>
      </c>
      <c r="Y106" s="46">
        <f>(résultats!AA110-résultats!AA161)/résultats!AA162</f>
        <v>1.3416052982419469</v>
      </c>
      <c r="Z106" s="46">
        <f>(résultats!AB110-résultats!AB161)/résultats!AB162</f>
        <v>0.83622366489954558</v>
      </c>
      <c r="AA106" s="46">
        <f>(résultats!AC110-résultats!AC161)/résultats!AC162</f>
        <v>-0.15733317830115748</v>
      </c>
      <c r="AB106" s="46">
        <f>(résultats!AD110-résultats!AD161)/résultats!AD162</f>
        <v>0.47000309890803338</v>
      </c>
      <c r="AC106" s="30"/>
      <c r="AD106" s="30">
        <f t="shared" si="4"/>
        <v>1.5502305951690039</v>
      </c>
      <c r="AE106" s="30"/>
      <c r="AF106" s="30"/>
      <c r="AG106" s="30"/>
      <c r="AH106" s="30"/>
      <c r="AI106" s="30"/>
      <c r="AJ106" s="30"/>
    </row>
    <row r="107" spans="1:36">
      <c r="A107" s="117"/>
      <c r="B107" s="119"/>
      <c r="C107" s="7" t="s">
        <v>18</v>
      </c>
      <c r="D107" s="41">
        <f t="shared" si="7"/>
        <v>78889</v>
      </c>
      <c r="E107" s="47">
        <f>(résultats!E111-résultats!E161)/résultats!E162</f>
        <v>-0.36358249640319185</v>
      </c>
      <c r="F107" s="47">
        <f>(résultats!F111-résultats!F161)/résultats!F162</f>
        <v>0.95025640402730693</v>
      </c>
      <c r="G107" s="47">
        <f>(résultats!G111-résultats!G161)/résultats!G162</f>
        <v>3.651285593891803</v>
      </c>
      <c r="H107" s="47">
        <f>(résultats!H111-résultats!H161)/résultats!H162</f>
        <v>3.3657321435841245</v>
      </c>
      <c r="I107" s="47">
        <f>(résultats!I111-résultats!I161)/résultats!I162</f>
        <v>3.6658443068915756</v>
      </c>
      <c r="J107" s="47">
        <f>(résultats!J111-résultats!J161)/résultats!J162</f>
        <v>3.3506920919216365</v>
      </c>
      <c r="K107" s="47">
        <f>(résultats!K111-résultats!K161)/résultats!K162</f>
        <v>6.5256381504504182</v>
      </c>
      <c r="L107" s="47">
        <f>(résultats!L111-résultats!L161)/résultats!L162</f>
        <v>-1.7871316762156719</v>
      </c>
      <c r="M107" s="47">
        <f>(résultats!O111-résultats!O161)/résultats!O162</f>
        <v>3.7034232452994802</v>
      </c>
      <c r="N107" s="47">
        <f>(résultats!P111-résultats!P161)/résultats!P162</f>
        <v>3.4153068279275551</v>
      </c>
      <c r="O107" s="47">
        <f>(résultats!Q111-résultats!Q161)/résultats!Q162</f>
        <v>3.6751763759410183</v>
      </c>
      <c r="P107" s="47">
        <f>(résultats!R111-résultats!R161)/résultats!R162</f>
        <v>3.3052725366041842</v>
      </c>
      <c r="Q107" s="47">
        <f>(résultats!S111-résultats!S161)/résultats!S162</f>
        <v>-1.9260920377081368</v>
      </c>
      <c r="R107" s="47">
        <f>(résultats!T111-résultats!T161)/résultats!T162</f>
        <v>-2.4829391325736774</v>
      </c>
      <c r="S107" s="47">
        <f>(résultats!U111-résultats!U161)/résultats!U162</f>
        <v>0.84916385815161632</v>
      </c>
      <c r="T107" s="47">
        <f>(résultats!V111-résultats!V161)/résultats!V162</f>
        <v>0.47547830752704379</v>
      </c>
      <c r="U107" s="47">
        <f>(résultats!W111-résultats!W161)/résultats!W162</f>
        <v>7.6242803174585614</v>
      </c>
      <c r="V107" s="47">
        <f>(résultats!X111-résultats!X161)/résultats!X162</f>
        <v>1.8150943017804637</v>
      </c>
      <c r="W107" s="47">
        <f>(résultats!Y111-résultats!Y161)/résultats!Y162</f>
        <v>1.0343776220905871</v>
      </c>
      <c r="X107" s="47">
        <f>(résultats!Z111-résultats!Z161)/résultats!Z162</f>
        <v>0.9770261729146098</v>
      </c>
      <c r="Y107" s="47">
        <f>(résultats!AA111-résultats!AA161)/résultats!AA162</f>
        <v>0.1606851880339101</v>
      </c>
      <c r="Z107" s="47">
        <f>(résultats!AB111-résultats!AB161)/résultats!AB162</f>
        <v>0.17152939736026529</v>
      </c>
      <c r="AA107" s="47">
        <f>(résultats!AC111-résultats!AC161)/résultats!AC162</f>
        <v>-0.15943835019332556</v>
      </c>
      <c r="AB107" s="47">
        <f>(résultats!AD111-résultats!AD161)/résultats!AD162</f>
        <v>0.66767191669192461</v>
      </c>
      <c r="AC107" s="31"/>
      <c r="AD107" s="31">
        <f t="shared" si="4"/>
        <v>7.6037712265537731</v>
      </c>
      <c r="AE107" s="31"/>
      <c r="AF107" s="31"/>
      <c r="AG107" s="31"/>
      <c r="AH107" s="31"/>
      <c r="AI107" s="31"/>
      <c r="AJ107" s="31"/>
    </row>
    <row r="108" spans="1:36">
      <c r="A108" s="117"/>
      <c r="B108" s="119"/>
      <c r="C108" s="6" t="s">
        <v>19</v>
      </c>
      <c r="D108" s="41">
        <f t="shared" si="7"/>
        <v>78889</v>
      </c>
      <c r="E108" s="89">
        <f>(résultats!E112-résultats!E161)/résultats!E162</f>
        <v>-0.21341069988732142</v>
      </c>
      <c r="F108" s="89">
        <f>(résultats!F112-résultats!F161)/résultats!F162</f>
        <v>0.17695666032945265</v>
      </c>
      <c r="G108" s="89">
        <f>(résultats!G112-résultats!G161)/résultats!G162</f>
        <v>0.48881274166561522</v>
      </c>
      <c r="H108" s="89">
        <f>(résultats!H112-résultats!H161)/résultats!H162</f>
        <v>0.37246583828219321</v>
      </c>
      <c r="I108" s="89">
        <f>(résultats!I112-résultats!I161)/résultats!I162</f>
        <v>0.43853700920792488</v>
      </c>
      <c r="J108" s="89">
        <f>(résultats!J112-résultats!J161)/résultats!J162</f>
        <v>0.29507285144317941</v>
      </c>
      <c r="K108" s="89">
        <f>(résultats!K112-résultats!K161)/résultats!K162</f>
        <v>-0.12972810176056027</v>
      </c>
      <c r="L108" s="89">
        <f>(résultats!L112-résultats!L161)/résultats!L162</f>
        <v>-8.7766452347862012E-2</v>
      </c>
      <c r="M108" s="89">
        <f>(résultats!O112-résultats!O161)/résultats!O162</f>
        <v>0.60438214352296671</v>
      </c>
      <c r="N108" s="89">
        <f>(résultats!P112-résultats!P161)/résultats!P162</f>
        <v>0.54110732224504632</v>
      </c>
      <c r="O108" s="89">
        <f>(résultats!Q112-résultats!Q161)/résultats!Q162</f>
        <v>0.42735010451410826</v>
      </c>
      <c r="P108" s="89">
        <f>(résultats!R112-résultats!R161)/résultats!R162</f>
        <v>0.28801180345569799</v>
      </c>
      <c r="Q108" s="89">
        <f>(résultats!S112-résultats!S161)/résultats!S162</f>
        <v>-0.718344493880125</v>
      </c>
      <c r="R108" s="89">
        <f>(résultats!T112-résultats!T161)/résultats!T162</f>
        <v>-0.58316956506359063</v>
      </c>
      <c r="S108" s="89">
        <f>(résultats!U112-résultats!U161)/résultats!U162</f>
        <v>-9.9661141047473603E-2</v>
      </c>
      <c r="T108" s="89">
        <f>(résultats!V112-résultats!V161)/résultats!V162</f>
        <v>1.0638605734821123</v>
      </c>
      <c r="U108" s="89">
        <f>(résultats!W112-résultats!W161)/résultats!W162</f>
        <v>-0.15935130176242221</v>
      </c>
      <c r="V108" s="89">
        <f>(résultats!X112-résultats!X161)/résultats!X162</f>
        <v>0.35647487710489156</v>
      </c>
      <c r="W108" s="89">
        <f>(résultats!Y112-résultats!Y161)/résultats!Y162</f>
        <v>0.35091727359426444</v>
      </c>
      <c r="X108" s="89">
        <f>(résultats!Z112-résultats!Z161)/résultats!Z162</f>
        <v>-0.13247104746896488</v>
      </c>
      <c r="Y108" s="89">
        <f>(résultats!AA112-résultats!AA161)/résultats!AA162</f>
        <v>0.90026064407506523</v>
      </c>
      <c r="Z108" s="89" t="s">
        <v>12</v>
      </c>
      <c r="AA108" s="89" t="s">
        <v>12</v>
      </c>
      <c r="AB108" s="89" t="s">
        <v>12</v>
      </c>
      <c r="AC108" s="32"/>
      <c r="AD108" s="32">
        <f t="shared" si="4"/>
        <v>1.1626202285900762</v>
      </c>
      <c r="AE108" s="32"/>
      <c r="AF108" s="32"/>
      <c r="AG108" s="32"/>
      <c r="AH108" s="32"/>
      <c r="AI108" s="32"/>
      <c r="AJ108" s="32"/>
    </row>
    <row r="109" spans="1:36">
      <c r="A109" s="117"/>
      <c r="B109" s="119"/>
      <c r="C109" s="4" t="s">
        <v>23</v>
      </c>
      <c r="D109" s="41">
        <f t="shared" si="7"/>
        <v>78889</v>
      </c>
      <c r="E109" s="48">
        <f>(résultats!E113-résultats!E161)/résultats!E162</f>
        <v>5.5465359019724894E-2</v>
      </c>
      <c r="F109" s="48">
        <f>(résultats!F113-résultats!F161)/résultats!F162</f>
        <v>0.31917706439355015</v>
      </c>
      <c r="G109" s="48">
        <f>(résultats!G113-résultats!G161)/résultats!G162</f>
        <v>8.878241277098238E-2</v>
      </c>
      <c r="H109" s="48">
        <f>(résultats!H113-résultats!H161)/résultats!H162</f>
        <v>0.13303750161523886</v>
      </c>
      <c r="I109" s="48">
        <f>(résultats!I113-résultats!I161)/résultats!I162</f>
        <v>7.4598954590406885E-2</v>
      </c>
      <c r="J109" s="48">
        <f>(résultats!J113-résultats!J161)/résultats!J162</f>
        <v>0.18583704532468573</v>
      </c>
      <c r="K109" s="48">
        <f>(résultats!K113-résultats!K161)/résultats!K162</f>
        <v>0.17072343167424725</v>
      </c>
      <c r="L109" s="48">
        <f>(résultats!L113-résultats!L161)/résultats!L162</f>
        <v>0.21255411528538487</v>
      </c>
      <c r="M109" s="48">
        <f>(résultats!O113-résultats!O161)/résultats!O162</f>
        <v>0.18155773290848257</v>
      </c>
      <c r="N109" s="48">
        <f>(résultats!P113-résultats!P161)/résultats!P162</f>
        <v>0.26223047545176759</v>
      </c>
      <c r="O109" s="48">
        <f>(résultats!Q113-résultats!Q161)/résultats!Q162</f>
        <v>5.7617401794372795E-2</v>
      </c>
      <c r="P109" s="48">
        <f>(résultats!R113-résultats!R161)/résultats!R162</f>
        <v>0.15072873927355737</v>
      </c>
      <c r="Q109" s="48">
        <f>(résultats!S113-résultats!S161)/résultats!S162</f>
        <v>-0.46408185307422889</v>
      </c>
      <c r="R109" s="48">
        <f>(résultats!T113-résultats!T161)/résultats!T162</f>
        <v>-0.48795438387573054</v>
      </c>
      <c r="S109" s="48">
        <f>(résultats!U113-résultats!U161)/résultats!U162</f>
        <v>-0.69977267900245421</v>
      </c>
      <c r="T109" s="48">
        <f>(résultats!V113-résultats!V161)/résultats!V162</f>
        <v>-0.46359537522243638</v>
      </c>
      <c r="U109" s="48">
        <f>(résultats!W113-résultats!W161)/résultats!W162</f>
        <v>-0.18029807798540212</v>
      </c>
      <c r="V109" s="48">
        <f>(résultats!X113-résultats!X161)/résultats!X162</f>
        <v>0.11337163965896288</v>
      </c>
      <c r="W109" s="48">
        <f>(résultats!Y113-résultats!Y161)/résultats!Y162</f>
        <v>0.16102612812015155</v>
      </c>
      <c r="X109" s="48">
        <f>(résultats!Z113-résultats!Z161)/résultats!Z162</f>
        <v>-1.4433473477220526E-2</v>
      </c>
      <c r="Y109" s="48">
        <f>(résultats!AA113-résultats!AA161)/résultats!AA162</f>
        <v>0.60110652702471035</v>
      </c>
      <c r="Z109" s="48">
        <f>(résultats!AB113-résultats!AB161)/résultats!AB162</f>
        <v>-7.9742364856631873E-2</v>
      </c>
      <c r="AA109" s="48">
        <f>(résultats!AC113-résultats!AC161)/résultats!AC162</f>
        <v>-0.16014007415738155</v>
      </c>
      <c r="AB109" s="48">
        <f>(résultats!AD113-résultats!AD161)/résultats!AD162</f>
        <v>1.080965126146052</v>
      </c>
      <c r="AC109" s="33"/>
      <c r="AD109" s="33">
        <f t="shared" si="4"/>
        <v>0.73451856391240611</v>
      </c>
      <c r="AE109" s="33"/>
      <c r="AF109" s="33"/>
      <c r="AG109" s="33"/>
      <c r="AH109" s="33"/>
      <c r="AI109" s="33"/>
      <c r="AJ109" s="33"/>
    </row>
    <row r="110" spans="1:36">
      <c r="A110" s="117"/>
      <c r="B110" s="119"/>
      <c r="C110" s="10" t="s">
        <v>24</v>
      </c>
      <c r="D110" s="41">
        <f t="shared" si="7"/>
        <v>78889</v>
      </c>
      <c r="E110" s="90">
        <f>(résultats!E114-résultats!E161)/résultats!E162</f>
        <v>-1.1047831269244703</v>
      </c>
      <c r="F110" s="90">
        <f>(résultats!F114-résultats!F161)/résultats!F162</f>
        <v>1.1586567027825645</v>
      </c>
      <c r="G110" s="90">
        <f>(résultats!G114-résultats!G161)/résultats!G162</f>
        <v>2.4417264337429403</v>
      </c>
      <c r="H110" s="90">
        <f>(résultats!H114-résultats!H161)/résultats!H162</f>
        <v>3.9768032598566121</v>
      </c>
      <c r="I110" s="90">
        <f>(résultats!I114-résultats!I161)/résultats!I162</f>
        <v>2.2739724391701897</v>
      </c>
      <c r="J110" s="90">
        <f>(résultats!J114-résultats!J161)/résultats!J162</f>
        <v>3.9944795879253099</v>
      </c>
      <c r="K110" s="90">
        <f>(résultats!K114-résultats!K161)/résultats!K162</f>
        <v>-1.6571892088253743</v>
      </c>
      <c r="L110" s="90">
        <f>(résultats!L114-résultats!L161)/résultats!L162</f>
        <v>-1.8322493260189456</v>
      </c>
      <c r="M110" s="90">
        <f>(résultats!O114-résultats!O161)/résultats!O162</f>
        <v>2.5591790563638415</v>
      </c>
      <c r="N110" s="90">
        <f>(résultats!P114-résultats!P161)/résultats!P162</f>
        <v>4.240193826864453</v>
      </c>
      <c r="O110" s="90">
        <f>(résultats!Q114-résultats!Q161)/résultats!Q162</f>
        <v>2.3017882536389229</v>
      </c>
      <c r="P110" s="90">
        <f>(résultats!R114-résultats!R161)/résultats!R162</f>
        <v>3.9118100292468347</v>
      </c>
      <c r="Q110" s="90">
        <f>(résultats!S114-résultats!S161)/résultats!S162</f>
        <v>-2.158106697443519</v>
      </c>
      <c r="R110" s="90">
        <f>(résultats!T114-résultats!T161)/résultats!T162</f>
        <v>-2.5872224262556172</v>
      </c>
      <c r="S110" s="90">
        <f>(résultats!U114-résultats!U161)/résultats!U162</f>
        <v>-0.12398998718078381</v>
      </c>
      <c r="T110" s="90">
        <f>(résultats!V114-résultats!V161)/résultats!V162</f>
        <v>1.4106554189788083</v>
      </c>
      <c r="U110" s="90">
        <f>(résultats!W114-résultats!W161)/résultats!W162</f>
        <v>-8.2705143310154453E-2</v>
      </c>
      <c r="V110" s="90">
        <f>(résultats!X114-résultats!X161)/résultats!X162</f>
        <v>1.6182964428956643</v>
      </c>
      <c r="W110" s="90">
        <f>(résultats!Y114-résultats!Y161)/résultats!Y162</f>
        <v>0.97083428158173979</v>
      </c>
      <c r="X110" s="90">
        <f>(résultats!Z114-résultats!Z161)/résultats!Z162</f>
        <v>1.4060289660393175</v>
      </c>
      <c r="Y110" s="90">
        <f>(résultats!AA114-résultats!AA161)/résultats!AA162</f>
        <v>1.5535061311526153</v>
      </c>
      <c r="Z110" s="90" t="s">
        <v>12</v>
      </c>
      <c r="AA110" s="90" t="s">
        <v>12</v>
      </c>
      <c r="AB110" s="90" t="s">
        <v>12</v>
      </c>
      <c r="AC110" s="34"/>
      <c r="AD110" s="34">
        <f t="shared" si="4"/>
        <v>8.893299518360358</v>
      </c>
      <c r="AE110" s="34"/>
      <c r="AF110" s="34"/>
      <c r="AG110" s="34"/>
      <c r="AH110" s="34"/>
      <c r="AI110" s="34"/>
      <c r="AJ110" s="34"/>
    </row>
    <row r="111" spans="1:36">
      <c r="A111" s="117"/>
      <c r="B111" s="119"/>
      <c r="C111" s="11" t="s">
        <v>25</v>
      </c>
      <c r="D111" s="41">
        <f t="shared" si="7"/>
        <v>78889</v>
      </c>
      <c r="E111" s="49" t="s">
        <v>12</v>
      </c>
      <c r="F111" s="49" t="s">
        <v>12</v>
      </c>
      <c r="G111" s="49" t="s">
        <v>12</v>
      </c>
      <c r="H111" s="49" t="s">
        <v>12</v>
      </c>
      <c r="I111" s="49" t="s">
        <v>12</v>
      </c>
      <c r="J111" s="49" t="s">
        <v>12</v>
      </c>
      <c r="K111" s="49" t="s">
        <v>12</v>
      </c>
      <c r="L111" s="49" t="s">
        <v>12</v>
      </c>
      <c r="M111" s="49" t="s">
        <v>12</v>
      </c>
      <c r="N111" s="49" t="s">
        <v>12</v>
      </c>
      <c r="O111" s="49" t="s">
        <v>12</v>
      </c>
      <c r="P111" s="49" t="s">
        <v>12</v>
      </c>
      <c r="Q111" s="49" t="s">
        <v>12</v>
      </c>
      <c r="R111" s="49" t="s">
        <v>12</v>
      </c>
      <c r="S111" s="49" t="s">
        <v>12</v>
      </c>
      <c r="T111" s="49" t="s">
        <v>12</v>
      </c>
      <c r="U111" s="49" t="s">
        <v>12</v>
      </c>
      <c r="V111" s="49" t="s">
        <v>12</v>
      </c>
      <c r="W111" s="49" t="s">
        <v>12</v>
      </c>
      <c r="X111" s="49" t="s">
        <v>12</v>
      </c>
      <c r="Y111" s="49" t="s">
        <v>12</v>
      </c>
      <c r="Z111" s="49" t="s">
        <v>12</v>
      </c>
      <c r="AA111" s="49" t="s">
        <v>12</v>
      </c>
      <c r="AB111" s="49" t="s">
        <v>12</v>
      </c>
      <c r="AC111" s="51" t="s">
        <v>12</v>
      </c>
      <c r="AD111" s="51" t="s">
        <v>12</v>
      </c>
      <c r="AE111" s="51" t="s">
        <v>12</v>
      </c>
      <c r="AF111" s="51" t="s">
        <v>12</v>
      </c>
      <c r="AG111" s="51" t="s">
        <v>12</v>
      </c>
      <c r="AH111" s="51" t="s">
        <v>12</v>
      </c>
      <c r="AI111" s="51"/>
      <c r="AJ111" s="51"/>
    </row>
    <row r="112" spans="1:36">
      <c r="A112" s="117"/>
      <c r="B112" s="119"/>
      <c r="C112" s="8" t="s">
        <v>26</v>
      </c>
      <c r="D112" s="41">
        <f t="shared" si="7"/>
        <v>78889</v>
      </c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51" t="s">
        <v>12</v>
      </c>
      <c r="AD112" s="51" t="s">
        <v>12</v>
      </c>
      <c r="AE112" s="51" t="s">
        <v>12</v>
      </c>
      <c r="AF112" s="51" t="s">
        <v>12</v>
      </c>
      <c r="AG112" s="51" t="s">
        <v>12</v>
      </c>
      <c r="AH112" s="51" t="s">
        <v>12</v>
      </c>
      <c r="AI112" s="51"/>
      <c r="AJ112" s="51"/>
    </row>
    <row r="113" spans="1:36">
      <c r="A113" s="117"/>
      <c r="B113" s="119"/>
      <c r="C113" s="19" t="s">
        <v>27</v>
      </c>
      <c r="D113" s="41">
        <f t="shared" si="7"/>
        <v>78889</v>
      </c>
      <c r="E113" s="50">
        <f>(résultats!E117-résultats!E161)/résultats!E162</f>
        <v>0.27885369533067822</v>
      </c>
      <c r="F113" s="50">
        <f>(résultats!F117-résultats!F161)/résultats!F162</f>
        <v>0.6709355304454192</v>
      </c>
      <c r="G113" s="50">
        <f>(résultats!G117-résultats!G161)/résultats!G162</f>
        <v>0.56455812938530925</v>
      </c>
      <c r="H113" s="50">
        <f>(résultats!H117-résultats!H161)/résultats!H162</f>
        <v>0.87852091130632415</v>
      </c>
      <c r="I113" s="50">
        <f>(résultats!I117-résultats!I161)/résultats!I162</f>
        <v>0.58406724489243234</v>
      </c>
      <c r="J113" s="50">
        <f>(résultats!J117-résultats!J161)/résultats!J162</f>
        <v>0.8939573935311963</v>
      </c>
      <c r="K113" s="50">
        <f>(résultats!K117-résultats!K161)/résultats!K162</f>
        <v>-0.49318823492231356</v>
      </c>
      <c r="L113" s="50">
        <f>(résultats!L117-résultats!L161)/résultats!L162</f>
        <v>-0.44194994111188968</v>
      </c>
      <c r="M113" s="50">
        <f>(résultats!O117-résultats!O161)/résultats!O162</f>
        <v>0.45954110694883493</v>
      </c>
      <c r="N113" s="50">
        <f>(résultats!P117-résultats!P161)/résultats!P162</f>
        <v>0.82850146283210369</v>
      </c>
      <c r="O113" s="50">
        <f>(résultats!Q117-résultats!Q161)/résultats!Q162</f>
        <v>0.58455316171015081</v>
      </c>
      <c r="P113" s="50">
        <f>(résultats!R117-résultats!R161)/résultats!R162</f>
        <v>0.86547584328397864</v>
      </c>
      <c r="Q113" s="50">
        <f>(résultats!S117-résultats!S161)/résultats!S162</f>
        <v>-0.33059396665113244</v>
      </c>
      <c r="R113" s="50">
        <f>(résultats!T117-résultats!T161)/résultats!T162</f>
        <v>-0.32019430273522598</v>
      </c>
      <c r="S113" s="50">
        <f>(résultats!U117-résultats!U161)/résultats!U162</f>
        <v>0.55721770455189656</v>
      </c>
      <c r="T113" s="50">
        <f>(résultats!V117-résultats!V161)/résultats!V162</f>
        <v>0.62354801684024019</v>
      </c>
      <c r="U113" s="50">
        <f>(résultats!W117-résultats!W161)/résultats!W162</f>
        <v>-0.1093646766848564</v>
      </c>
      <c r="V113" s="50">
        <f>(résultats!X117-résultats!X161)/résultats!X162</f>
        <v>0.26386411998263293</v>
      </c>
      <c r="W113" s="50">
        <f>(résultats!Y117-résultats!Y161)/résultats!Y162</f>
        <v>0.27924629650870419</v>
      </c>
      <c r="X113" s="50">
        <f>(résultats!Z117-résultats!Z161)/résultats!Z162</f>
        <v>-0.11742772891044383</v>
      </c>
      <c r="Y113" s="50">
        <f>(résultats!AA117-résultats!AA161)/résultats!AA162</f>
        <v>0.46307090820054991</v>
      </c>
      <c r="Z113" s="50">
        <f>(résultats!AB117-résultats!AB161)/résultats!AB162</f>
        <v>0.15915147803923585</v>
      </c>
      <c r="AA113" s="50">
        <f>(résultats!AC117-résultats!AC161)/résultats!AC162</f>
        <v>-0.15991679835063646</v>
      </c>
      <c r="AB113" s="50">
        <f>(résultats!AD117-résultats!AD161)/résultats!AD162</f>
        <v>-0.30948931480708725</v>
      </c>
      <c r="AC113" s="38"/>
      <c r="AD113" s="38">
        <f t="shared" si="4"/>
        <v>1.6737844066410217</v>
      </c>
      <c r="AE113" s="38"/>
      <c r="AF113" s="38"/>
      <c r="AG113" s="38"/>
      <c r="AH113" s="38"/>
      <c r="AI113" s="38"/>
      <c r="AJ113" s="38"/>
    </row>
    <row r="114" spans="1:36">
      <c r="A114" s="117"/>
      <c r="B114" s="120"/>
      <c r="C114" s="21" t="s">
        <v>28</v>
      </c>
      <c r="D114" s="41">
        <f t="shared" si="7"/>
        <v>78889</v>
      </c>
      <c r="E114" s="92">
        <f>(résultats!E118-résultats!E161)/résultats!E162</f>
        <v>-9.1590840058056247E-2</v>
      </c>
      <c r="F114" s="92">
        <f>(résultats!F118-résultats!F161)/résultats!F162</f>
        <v>0.31007495853344968</v>
      </c>
      <c r="G114" s="92">
        <f>(résultats!G118-résultats!G161)/résultats!G162</f>
        <v>0.29780263350290942</v>
      </c>
      <c r="H114" s="92">
        <f>(résultats!H118-résultats!H161)/résultats!H162</f>
        <v>0.64156515642939005</v>
      </c>
      <c r="I114" s="92">
        <f>(résultats!I118-résultats!I161)/résultats!I162</f>
        <v>0.26095413274282619</v>
      </c>
      <c r="J114" s="92">
        <f>(résultats!J118-résultats!J161)/résultats!J162</f>
        <v>0.56693843613864636</v>
      </c>
      <c r="K114" s="92">
        <f>(résultats!K118-résultats!K161)/résultats!K162</f>
        <v>-0.18378284784209825</v>
      </c>
      <c r="L114" s="92">
        <f>(résultats!L118-résultats!L161)/résultats!L162</f>
        <v>-0.12771644182124545</v>
      </c>
      <c r="M114" s="92">
        <f>(résultats!O118-résultats!O161)/résultats!O162</f>
        <v>0.33029833585191798</v>
      </c>
      <c r="N114" s="92">
        <f>(résultats!P118-résultats!P161)/résultats!P162</f>
        <v>0.66060753516988469</v>
      </c>
      <c r="O114" s="92">
        <f>(résultats!Q118-résultats!Q161)/résultats!Q162</f>
        <v>0.25437119281500181</v>
      </c>
      <c r="P114" s="92">
        <f>(résultats!R118-résultats!R161)/résultats!R162</f>
        <v>0.54359118712488075</v>
      </c>
      <c r="Q114" s="92">
        <f>(résultats!S118-résultats!S161)/résultats!S162</f>
        <v>-0.42912073996341826</v>
      </c>
      <c r="R114" s="92">
        <f>(résultats!T118-résultats!T161)/résultats!T162</f>
        <v>-0.56503334007542461</v>
      </c>
      <c r="S114" s="92">
        <f>(résultats!U118-résultats!U161)/résultats!U162</f>
        <v>0.15984655104116682</v>
      </c>
      <c r="T114" s="92">
        <f>(résultats!V118-résultats!V161)/résultats!V162</f>
        <v>0.34299488340471057</v>
      </c>
      <c r="U114" s="92">
        <f>(résultats!W118-résultats!W161)/résultats!W162</f>
        <v>-0.13745239934748885</v>
      </c>
      <c r="V114" s="92">
        <f>(résultats!X118-résultats!X161)/résultats!X162</f>
        <v>0.24071143070206827</v>
      </c>
      <c r="W114" s="92">
        <f>(résultats!Y118-résultats!Y161)/résultats!Y162</f>
        <v>0.26668540361742088</v>
      </c>
      <c r="X114" s="92">
        <f>(résultats!Z118-résultats!Z161)/résultats!Z162</f>
        <v>-0.15376492319598772</v>
      </c>
      <c r="Y114" s="92">
        <f>(résultats!AA118-résultats!AA161)/résultats!AA162</f>
        <v>0.32919020766875501</v>
      </c>
      <c r="Z114" s="92" t="s">
        <v>12</v>
      </c>
      <c r="AA114" s="92" t="s">
        <v>12</v>
      </c>
      <c r="AB114" s="92" t="s">
        <v>12</v>
      </c>
      <c r="AC114" s="37"/>
      <c r="AD114" s="37">
        <f t="shared" si="4"/>
        <v>1.4597200495611133</v>
      </c>
      <c r="AE114" s="37"/>
      <c r="AF114" s="37"/>
      <c r="AG114" s="37"/>
      <c r="AH114" s="37"/>
      <c r="AI114" s="37"/>
      <c r="AJ114" s="37"/>
    </row>
    <row r="115" spans="1:36">
      <c r="A115" s="117"/>
      <c r="B115" s="118">
        <v>9</v>
      </c>
      <c r="C115" s="2" t="s">
        <v>16</v>
      </c>
      <c r="D115" s="41">
        <f>D101+11111+139</f>
        <v>90139</v>
      </c>
      <c r="E115" s="85">
        <f>(résultats!E119-résultats!E161)/résultats!E162</f>
        <v>-3.1148249759137422E-2</v>
      </c>
      <c r="F115" s="85">
        <f>(résultats!F119-résultats!F161)/résultats!F162</f>
        <v>0.19572975366591369</v>
      </c>
      <c r="G115" s="85">
        <f>(résultats!G119-résultats!G161)/résultats!G162</f>
        <v>1.1805039792526573</v>
      </c>
      <c r="H115" s="85">
        <f>(résultats!H119-résultats!H161)/résultats!H162</f>
        <v>0.9472037388068848</v>
      </c>
      <c r="I115" s="85">
        <f>(résultats!I119-résultats!I161)/résultats!I162</f>
        <v>1.1330108927873972</v>
      </c>
      <c r="J115" s="85">
        <f>(résultats!J119-résultats!J161)/résultats!J162</f>
        <v>0.88646081860149639</v>
      </c>
      <c r="K115" s="85">
        <f>(résultats!K119-résultats!K161)/résultats!K162</f>
        <v>-0.47793352130421096</v>
      </c>
      <c r="L115" s="85">
        <f>(résultats!L119-résultats!L161)/résultats!L162</f>
        <v>-0.2030450289377248</v>
      </c>
      <c r="M115" s="85">
        <f>(résultats!O119-résultats!O161)/résultats!O162</f>
        <v>1.2669370390313017</v>
      </c>
      <c r="N115" s="85">
        <f>(résultats!P119-résultats!P161)/résultats!P162</f>
        <v>1.0125266287401169</v>
      </c>
      <c r="O115" s="85">
        <f>(résultats!Q119-résultats!Q161)/résultats!Q162</f>
        <v>1.1214877026489969</v>
      </c>
      <c r="P115" s="85">
        <f>(résultats!R119-résultats!R161)/résultats!R162</f>
        <v>0.85486996636445112</v>
      </c>
      <c r="Q115" s="85">
        <f>(résultats!S119-résultats!S161)/résultats!S162</f>
        <v>-1.0520642099378683</v>
      </c>
      <c r="R115" s="85">
        <f>(résultats!T119-résultats!T161)/résultats!T162</f>
        <v>-1.489980814471747</v>
      </c>
      <c r="S115" s="85">
        <f>(résultats!U119-résultats!U161)/résultats!U162</f>
        <v>-0.1645380640696337</v>
      </c>
      <c r="T115" s="85">
        <f>(résultats!V119-résultats!V161)/résultats!V162</f>
        <v>-0.37397423537497543</v>
      </c>
      <c r="U115" s="85">
        <f>(résultats!W119-résultats!W161)/résultats!W162</f>
        <v>-0.15268641841874672</v>
      </c>
      <c r="V115" s="85">
        <f>(résultats!X119-résultats!X161)/résultats!X162</f>
        <v>0.59957811455082022</v>
      </c>
      <c r="W115" s="85">
        <f>(résultats!Y119-résultats!Y161)/résultats!Y162</f>
        <v>0.50977562486638306</v>
      </c>
      <c r="X115" s="85">
        <f>(résultats!Z119-résultats!Z161)/résultats!Z162</f>
        <v>7.7389077166031328E-2</v>
      </c>
      <c r="Y115" s="85">
        <f>(résultats!AA119-résultats!AA161)/résultats!AA162</f>
        <v>0.174996573263171</v>
      </c>
      <c r="Z115" s="85" t="s">
        <v>12</v>
      </c>
      <c r="AA115" s="85" t="s">
        <v>12</v>
      </c>
      <c r="AB115" s="85" t="s">
        <v>12</v>
      </c>
      <c r="AC115" s="25"/>
      <c r="AD115" s="25">
        <f t="shared" si="4"/>
        <v>2.747294549099073</v>
      </c>
      <c r="AE115" s="25"/>
      <c r="AF115" s="25"/>
      <c r="AG115" s="25"/>
      <c r="AH115" s="25"/>
      <c r="AI115" s="25"/>
      <c r="AJ115" s="25"/>
    </row>
    <row r="116" spans="1:36">
      <c r="A116" s="117"/>
      <c r="B116" s="119"/>
      <c r="C116" s="1" t="s">
        <v>15</v>
      </c>
      <c r="D116" s="41">
        <f t="shared" ref="D116:D128" si="8">D102+11111+139</f>
        <v>90139</v>
      </c>
      <c r="E116" s="43" t="s">
        <v>12</v>
      </c>
      <c r="F116" s="43" t="s">
        <v>12</v>
      </c>
      <c r="G116" s="43" t="s">
        <v>12</v>
      </c>
      <c r="H116" s="43" t="s">
        <v>12</v>
      </c>
      <c r="I116" s="43" t="s">
        <v>12</v>
      </c>
      <c r="J116" s="43" t="s">
        <v>12</v>
      </c>
      <c r="K116" s="43" t="s">
        <v>12</v>
      </c>
      <c r="L116" s="43" t="s">
        <v>12</v>
      </c>
      <c r="M116" s="43" t="s">
        <v>12</v>
      </c>
      <c r="N116" s="43" t="s">
        <v>12</v>
      </c>
      <c r="O116" s="43" t="s">
        <v>12</v>
      </c>
      <c r="P116" s="43" t="s">
        <v>12</v>
      </c>
      <c r="Q116" s="43" t="s">
        <v>12</v>
      </c>
      <c r="R116" s="43" t="s">
        <v>12</v>
      </c>
      <c r="S116" s="43" t="s">
        <v>12</v>
      </c>
      <c r="T116" s="43" t="s">
        <v>12</v>
      </c>
      <c r="U116" s="43" t="s">
        <v>12</v>
      </c>
      <c r="V116" s="43" t="s">
        <v>12</v>
      </c>
      <c r="W116" s="43" t="s">
        <v>12</v>
      </c>
      <c r="X116" s="43" t="s">
        <v>12</v>
      </c>
      <c r="Y116" s="43" t="s">
        <v>12</v>
      </c>
      <c r="Z116" s="43" t="s">
        <v>12</v>
      </c>
      <c r="AA116" s="43" t="s">
        <v>12</v>
      </c>
      <c r="AB116" s="43" t="s">
        <v>12</v>
      </c>
      <c r="AC116" s="51" t="s">
        <v>12</v>
      </c>
      <c r="AD116" s="51" t="s">
        <v>12</v>
      </c>
      <c r="AE116" s="51" t="s">
        <v>12</v>
      </c>
      <c r="AF116" s="51" t="s">
        <v>12</v>
      </c>
      <c r="AG116" s="51" t="s">
        <v>12</v>
      </c>
      <c r="AH116" s="51" t="s">
        <v>12</v>
      </c>
      <c r="AI116" s="51"/>
      <c r="AJ116" s="51"/>
    </row>
    <row r="117" spans="1:36">
      <c r="A117" s="117"/>
      <c r="B117" s="119"/>
      <c r="C117" s="5" t="s">
        <v>14</v>
      </c>
      <c r="D117" s="41">
        <f t="shared" si="8"/>
        <v>90139</v>
      </c>
      <c r="E117" s="44">
        <f>(résultats!E121-résultats!E161)/résultats!E162</f>
        <v>-0.33398432074135048</v>
      </c>
      <c r="F117" s="44">
        <f>(résultats!F121-résultats!F161)/résultats!F162</f>
        <v>-0.26601249152885542</v>
      </c>
      <c r="G117" s="44">
        <f>(résultats!G121-résultats!G161)/résultats!G162</f>
        <v>-0.43001174415154086</v>
      </c>
      <c r="H117" s="44">
        <f>(résultats!H121-résultats!H161)/résultats!H162</f>
        <v>-0.32851109918852789</v>
      </c>
      <c r="I117" s="44">
        <f>(résultats!I121-résultats!I161)/résultats!I162</f>
        <v>-0.49267655452293119</v>
      </c>
      <c r="J117" s="44">
        <f>(résultats!J121-résultats!J161)/résultats!J162</f>
        <v>-0.4185551844667848</v>
      </c>
      <c r="K117" s="44">
        <f>(résultats!K121-résultats!K161)/résultats!K162</f>
        <v>0.23439527981937178</v>
      </c>
      <c r="L117" s="44">
        <f>(résultats!L121-résultats!L161)/résultats!L162</f>
        <v>0.38328566233830291</v>
      </c>
      <c r="M117" s="44">
        <f>(résultats!O121-résultats!O161)/résultats!O162</f>
        <v>-0.33727028784552182</v>
      </c>
      <c r="N117" s="44">
        <f>(résultats!P121-résultats!P161)/résultats!P162</f>
        <v>-0.27861768045319785</v>
      </c>
      <c r="O117" s="44">
        <f>(résultats!Q121-résultats!Q161)/résultats!Q162</f>
        <v>-0.50198104279676581</v>
      </c>
      <c r="P117" s="44">
        <f>(résultats!R121-résultats!R161)/résultats!R162</f>
        <v>-0.42339778683878759</v>
      </c>
      <c r="Q117" s="44">
        <f>(résultats!S121-résultats!S161)/résultats!S162</f>
        <v>-9.8579306915754755E-2</v>
      </c>
      <c r="R117" s="44">
        <f>(résultats!T121-résultats!T161)/résultats!T162</f>
        <v>9.2404815745490157E-2</v>
      </c>
      <c r="S117" s="44">
        <f>(résultats!U121-résultats!U161)/résultats!U162</f>
        <v>-0.47270344842489381</v>
      </c>
      <c r="T117" s="44">
        <f>(résultats!V121-résultats!V161)/résultats!V162</f>
        <v>-0.40125023445898533</v>
      </c>
      <c r="U117" s="44">
        <f>(résultats!W121-résultats!W161)/résultats!W162</f>
        <v>-0.15268641841874672</v>
      </c>
      <c r="V117" s="44">
        <f>(résultats!X121-résultats!X161)/résultats!X162</f>
        <v>-1.3968151384142756E-2</v>
      </c>
      <c r="W117" s="44">
        <f>(résultats!Y121-résultats!Y161)/résultats!Y162</f>
        <v>5.1672472360739623E-2</v>
      </c>
      <c r="X117" s="44">
        <f>(résultats!Z121-résultats!Z161)/résultats!Z162</f>
        <v>-0.17734445042492539</v>
      </c>
      <c r="Y117" s="44">
        <f>(résultats!AA121-résultats!AA161)/résultats!AA162</f>
        <v>-0.25757658673093781</v>
      </c>
      <c r="Z117" s="44">
        <f>(résultats!AB121-résultats!AB161)/résultats!AB162</f>
        <v>-0.29635595297464684</v>
      </c>
      <c r="AA117" s="44">
        <f>(résultats!AC121-résultats!AC161)/résultats!AC162</f>
        <v>-0.15991679835063646</v>
      </c>
      <c r="AB117" s="44">
        <f>(résultats!AD121-résultats!AD161)/résultats!AD162</f>
        <v>0.3665222915104106</v>
      </c>
      <c r="AC117" s="27"/>
      <c r="AD117" s="27">
        <f t="shared" si="4"/>
        <v>-0.65855749170198097</v>
      </c>
      <c r="AE117" s="27"/>
      <c r="AF117" s="27"/>
      <c r="AG117" s="27"/>
      <c r="AH117" s="27"/>
      <c r="AI117" s="27"/>
      <c r="AJ117" s="27"/>
    </row>
    <row r="118" spans="1:36">
      <c r="A118" s="117"/>
      <c r="B118" s="119"/>
      <c r="C118" s="12" t="s">
        <v>11</v>
      </c>
      <c r="D118" s="41">
        <f t="shared" si="8"/>
        <v>90139</v>
      </c>
      <c r="E118" s="45">
        <f>(résultats!E122-résultats!E161)/résultats!E162</f>
        <v>0.19442100475847773</v>
      </c>
      <c r="F118" s="45">
        <f>(résultats!F122-résultats!F161)/résultats!F162</f>
        <v>0.36449796648864441</v>
      </c>
      <c r="G118" s="45">
        <f>(résultats!G122-résultats!G161)/résultats!G162</f>
        <v>-5.1902295126873159E-2</v>
      </c>
      <c r="H118" s="45">
        <f>(résultats!H122-résultats!H161)/résultats!H162</f>
        <v>8.9286540497381731E-2</v>
      </c>
      <c r="I118" s="45">
        <f>(résultats!I122-résultats!I161)/résultats!I162</f>
        <v>-3.651686678230865E-2</v>
      </c>
      <c r="J118" s="45">
        <f>(résultats!J122-résultats!J161)/résultats!J162</f>
        <v>0.10918839145162505</v>
      </c>
      <c r="K118" s="45">
        <f>(résultats!K122-résultats!K161)/résultats!K162</f>
        <v>-0.1914102046511498</v>
      </c>
      <c r="L118" s="45">
        <f>(résultats!L122-résultats!L161)/résultats!L162</f>
        <v>8.6302884212478472E-3</v>
      </c>
      <c r="M118" s="45">
        <f>(résultats!O122-résultats!O161)/résultats!O162</f>
        <v>-0.15009110211895163</v>
      </c>
      <c r="N118" s="45">
        <f>(résultats!P122-résultats!P161)/résultats!P162</f>
        <v>-5.1102696234525596E-2</v>
      </c>
      <c r="O118" s="45">
        <f>(résultats!Q122-résultats!Q161)/résultats!Q162</f>
        <v>-3.6926627657097998E-2</v>
      </c>
      <c r="P118" s="45">
        <f>(résultats!R122-résultats!R161)/résultats!R162</f>
        <v>0.10125936930624929</v>
      </c>
      <c r="Q118" s="45">
        <f>(résultats!S122-résultats!S161)/résultats!S162</f>
        <v>7.9404541648373836E-2</v>
      </c>
      <c r="R118" s="45">
        <f>(résultats!T122-résultats!T161)/résultats!T162</f>
        <v>0.15588160320406136</v>
      </c>
      <c r="S118" s="45">
        <f>(résultats!U122-résultats!U161)/résultats!U162</f>
        <v>0.31392924321879651</v>
      </c>
      <c r="T118" s="45">
        <f>(résultats!V122-résultats!V161)/résultats!V162</f>
        <v>9.3614320350906499E-2</v>
      </c>
      <c r="U118" s="45">
        <f>(résultats!W122-résultats!W161)/résultats!W162</f>
        <v>-0.10888861358887933</v>
      </c>
      <c r="V118" s="45">
        <f>(résultats!X122-résultats!X161)/résultats!X162</f>
        <v>3.2337227176986567E-2</v>
      </c>
      <c r="W118" s="45">
        <f>(résultats!Y122-résultats!Y161)/résultats!Y162</f>
        <v>8.6399646824877011E-2</v>
      </c>
      <c r="X118" s="45">
        <f>(résultats!Z122-résultats!Z161)/résultats!Z162</f>
        <v>-0.18172916963268038</v>
      </c>
      <c r="Y118" s="45">
        <f>(résultats!AA122-résultats!AA161)/résultats!AA162</f>
        <v>-2.0746244066073668E-2</v>
      </c>
      <c r="Z118" s="45">
        <f>(résultats!AB122-résultats!AB161)/résultats!AB162</f>
        <v>4.6814243019773354</v>
      </c>
      <c r="AA118" s="45">
        <f>(résultats!AC122-résultats!AC161)/résultats!AC162</f>
        <v>-0.15630451476293902</v>
      </c>
      <c r="AB118" s="45">
        <f>(résultats!AD122-résultats!AD161)/résultats!AD162</f>
        <v>-0.11040295171637973</v>
      </c>
      <c r="AC118" s="28"/>
      <c r="AD118" s="28">
        <f t="shared" si="4"/>
        <v>-8.4769290555582147E-2</v>
      </c>
      <c r="AE118" s="28"/>
      <c r="AF118" s="28"/>
      <c r="AG118" s="28"/>
      <c r="AH118" s="28"/>
      <c r="AI118" s="28"/>
      <c r="AJ118" s="28"/>
    </row>
    <row r="119" spans="1:36">
      <c r="A119" s="117"/>
      <c r="B119" s="119"/>
      <c r="C119" s="3" t="s">
        <v>8</v>
      </c>
      <c r="D119" s="41">
        <f t="shared" si="8"/>
        <v>90139</v>
      </c>
      <c r="E119" s="88" t="s">
        <v>12</v>
      </c>
      <c r="F119" s="88" t="s">
        <v>12</v>
      </c>
      <c r="G119" s="88" t="s">
        <v>12</v>
      </c>
      <c r="H119" s="88" t="s">
        <v>12</v>
      </c>
      <c r="I119" s="88" t="s">
        <v>12</v>
      </c>
      <c r="J119" s="88" t="s">
        <v>12</v>
      </c>
      <c r="K119" s="88" t="s">
        <v>12</v>
      </c>
      <c r="L119" s="88" t="s">
        <v>12</v>
      </c>
      <c r="M119" s="88" t="s">
        <v>12</v>
      </c>
      <c r="N119" s="88" t="s">
        <v>12</v>
      </c>
      <c r="O119" s="88" t="s">
        <v>12</v>
      </c>
      <c r="P119" s="88" t="s">
        <v>12</v>
      </c>
      <c r="Q119" s="88" t="s">
        <v>12</v>
      </c>
      <c r="R119" s="88" t="s">
        <v>12</v>
      </c>
      <c r="S119" s="88" t="s">
        <v>12</v>
      </c>
      <c r="T119" s="88" t="s">
        <v>12</v>
      </c>
      <c r="U119" s="88" t="s">
        <v>12</v>
      </c>
      <c r="V119" s="88" t="s">
        <v>12</v>
      </c>
      <c r="W119" s="88" t="s">
        <v>12</v>
      </c>
      <c r="X119" s="88" t="s">
        <v>12</v>
      </c>
      <c r="Y119" s="88" t="s">
        <v>12</v>
      </c>
      <c r="Z119" s="88" t="s">
        <v>12</v>
      </c>
      <c r="AA119" s="88" t="s">
        <v>12</v>
      </c>
      <c r="AB119" s="88" t="s">
        <v>12</v>
      </c>
      <c r="AC119" s="51" t="s">
        <v>12</v>
      </c>
      <c r="AD119" s="51" t="s">
        <v>12</v>
      </c>
      <c r="AE119" s="51" t="s">
        <v>12</v>
      </c>
      <c r="AF119" s="51" t="s">
        <v>12</v>
      </c>
      <c r="AG119" s="51" t="s">
        <v>12</v>
      </c>
      <c r="AH119" s="51" t="s">
        <v>12</v>
      </c>
      <c r="AI119" s="51"/>
      <c r="AJ119" s="51"/>
    </row>
    <row r="120" spans="1:36">
      <c r="A120" s="117"/>
      <c r="B120" s="119"/>
      <c r="C120" s="9" t="s">
        <v>7</v>
      </c>
      <c r="D120" s="41">
        <f t="shared" si="8"/>
        <v>90139</v>
      </c>
      <c r="E120" s="46">
        <f>(résultats!E124-résultats!E161)/résultats!E162</f>
        <v>0.41874402030085678</v>
      </c>
      <c r="F120" s="46">
        <f>(résultats!F124-résultats!F161)/résultats!F162</f>
        <v>1.1440554079653154</v>
      </c>
      <c r="G120" s="46">
        <f>(résultats!G124-résultats!G161)/résultats!G162</f>
        <v>2.7212433808172465</v>
      </c>
      <c r="H120" s="46">
        <f>(résultats!H124-résultats!H161)/résultats!H162</f>
        <v>2.5374859267548646</v>
      </c>
      <c r="I120" s="46">
        <f>(résultats!I124-résultats!I161)/résultats!I162</f>
        <v>2.764659006628853</v>
      </c>
      <c r="J120" s="46">
        <f>(résultats!J124-résultats!J161)/résultats!J162</f>
        <v>2.5912431541454413</v>
      </c>
      <c r="K120" s="46">
        <f>(résultats!K124-résultats!K161)/résultats!K162</f>
        <v>-1.6605054509162667</v>
      </c>
      <c r="L120" s="46">
        <f>(résultats!L124-résultats!L161)/résultats!L162</f>
        <v>-1.2711606678927672</v>
      </c>
      <c r="M120" s="46">
        <f>(résultats!O124-résultats!O161)/résultats!O162</f>
        <v>2.5825764545796623</v>
      </c>
      <c r="N120" s="46">
        <f>(résultats!P124-résultats!P161)/résultats!P162</f>
        <v>2.4279459973790236</v>
      </c>
      <c r="O120" s="46">
        <f>(résultats!Q124-résultats!Q161)/résultats!Q162</f>
        <v>2.7728419373924322</v>
      </c>
      <c r="P120" s="46">
        <f>(résultats!R124-résultats!R161)/résultats!R162</f>
        <v>2.5483985928015125</v>
      </c>
      <c r="Q120" s="46">
        <f>(résultats!S124-résultats!S161)/résultats!S162</f>
        <v>-1.3921404920157534</v>
      </c>
      <c r="R120" s="46">
        <f>(résultats!T124-résultats!T161)/résultats!T162</f>
        <v>-2.0522037891048019</v>
      </c>
      <c r="S120" s="46">
        <f>(résultats!U124-résultats!U161)/résultats!U162</f>
        <v>0.80861578126276712</v>
      </c>
      <c r="T120" s="46">
        <f>(résultats!V124-résultats!V161)/résultats!V162</f>
        <v>0.48716802142019133</v>
      </c>
      <c r="U120" s="46">
        <f>(résultats!W124-résultats!W161)/résultats!W162</f>
        <v>-9.8415225477389373E-2</v>
      </c>
      <c r="V120" s="46">
        <f>(résultats!X124-résultats!X161)/résultats!X162</f>
        <v>1.0973609340829602</v>
      </c>
      <c r="W120" s="46">
        <f>(résultats!Y124-résultats!Y161)/résultats!Y162</f>
        <v>0.76838224321634307</v>
      </c>
      <c r="X120" s="46">
        <f>(résultats!Z124-résultats!Z161)/résultats!Z162</f>
        <v>0.58520020115778204</v>
      </c>
      <c r="Y120" s="46">
        <f>(résultats!AA124-résultats!AA161)/résultats!AA162</f>
        <v>1.9749995090337478</v>
      </c>
      <c r="Z120" s="46">
        <f>(résultats!AB124-résultats!AB161)/résultats!AB162</f>
        <v>1.3362916054691343</v>
      </c>
      <c r="AA120" s="46">
        <f>(résultats!AC124-résultats!AC161)/résultats!AC162</f>
        <v>-0.15561076493483819</v>
      </c>
      <c r="AB120" s="46">
        <f>(résultats!AD124-résultats!AD161)/résultats!AD162</f>
        <v>0.40070088390810338</v>
      </c>
      <c r="AC120" s="30"/>
      <c r="AD120" s="30">
        <f t="shared" si="4"/>
        <v>5.7937585318769749</v>
      </c>
      <c r="AE120" s="30"/>
      <c r="AF120" s="30"/>
      <c r="AG120" s="30"/>
      <c r="AH120" s="30"/>
      <c r="AI120" s="30"/>
      <c r="AJ120" s="30"/>
    </row>
    <row r="121" spans="1:36">
      <c r="A121" s="117"/>
      <c r="B121" s="119"/>
      <c r="C121" s="7" t="s">
        <v>18</v>
      </c>
      <c r="D121" s="41">
        <f t="shared" si="8"/>
        <v>90139</v>
      </c>
      <c r="E121" s="47" t="s">
        <v>12</v>
      </c>
      <c r="F121" s="47" t="s">
        <v>12</v>
      </c>
      <c r="G121" s="47" t="s">
        <v>12</v>
      </c>
      <c r="H121" s="47" t="s">
        <v>12</v>
      </c>
      <c r="I121" s="47" t="s">
        <v>12</v>
      </c>
      <c r="J121" s="47" t="s">
        <v>12</v>
      </c>
      <c r="K121" s="47" t="s">
        <v>12</v>
      </c>
      <c r="L121" s="47" t="s">
        <v>12</v>
      </c>
      <c r="M121" s="47" t="s">
        <v>12</v>
      </c>
      <c r="N121" s="47" t="s">
        <v>12</v>
      </c>
      <c r="O121" s="47" t="s">
        <v>12</v>
      </c>
      <c r="P121" s="47" t="s">
        <v>12</v>
      </c>
      <c r="Q121" s="47" t="s">
        <v>12</v>
      </c>
      <c r="R121" s="47" t="s">
        <v>12</v>
      </c>
      <c r="S121" s="47" t="s">
        <v>12</v>
      </c>
      <c r="T121" s="47" t="s">
        <v>12</v>
      </c>
      <c r="U121" s="47" t="s">
        <v>12</v>
      </c>
      <c r="V121" s="47" t="s">
        <v>12</v>
      </c>
      <c r="W121" s="47" t="s">
        <v>12</v>
      </c>
      <c r="X121" s="47" t="s">
        <v>12</v>
      </c>
      <c r="Y121" s="47" t="s">
        <v>12</v>
      </c>
      <c r="Z121" s="47" t="s">
        <v>12</v>
      </c>
      <c r="AA121" s="47" t="s">
        <v>12</v>
      </c>
      <c r="AB121" s="47" t="s">
        <v>12</v>
      </c>
      <c r="AC121" s="51" t="s">
        <v>12</v>
      </c>
      <c r="AD121" s="51" t="s">
        <v>12</v>
      </c>
      <c r="AE121" s="51" t="s">
        <v>12</v>
      </c>
      <c r="AF121" s="51" t="s">
        <v>12</v>
      </c>
      <c r="AG121" s="51" t="s">
        <v>12</v>
      </c>
      <c r="AH121" s="51" t="s">
        <v>12</v>
      </c>
      <c r="AI121" s="51"/>
      <c r="AJ121" s="51"/>
    </row>
    <row r="122" spans="1:36">
      <c r="A122" s="117"/>
      <c r="B122" s="119"/>
      <c r="C122" s="6" t="s">
        <v>19</v>
      </c>
      <c r="D122" s="41">
        <f t="shared" si="8"/>
        <v>90139</v>
      </c>
      <c r="E122" s="89">
        <f>(résultats!E126-résultats!E161)/résultats!E162</f>
        <v>-0.26917989402910625</v>
      </c>
      <c r="F122" s="89">
        <f>(résultats!F126-résultats!F161)/résultats!F162</f>
        <v>0.26456442923293677</v>
      </c>
      <c r="G122" s="89">
        <f>(résultats!G126-résultats!G161)/résultats!G162</f>
        <v>1.6505164598448334</v>
      </c>
      <c r="H122" s="89">
        <f>(résultats!H126-résultats!H161)/résultats!H162</f>
        <v>1.5809401881545573</v>
      </c>
      <c r="I122" s="89">
        <f>(résultats!I126-résultats!I161)/résultats!I162</f>
        <v>1.5776991090907546</v>
      </c>
      <c r="J122" s="89">
        <f>(résultats!J126-résultats!J161)/résultats!J162</f>
        <v>1.4959017621211315</v>
      </c>
      <c r="K122" s="89">
        <f>(résultats!K126-résultats!K161)/résultats!K162</f>
        <v>-1.0171544852832355</v>
      </c>
      <c r="L122" s="89">
        <f>(résultats!L126-résultats!L161)/résultats!L162</f>
        <v>-1.0869137015155201</v>
      </c>
      <c r="M122" s="89">
        <f>(résultats!O126-résultats!O161)/résultats!O162</f>
        <v>1.6784341378111414</v>
      </c>
      <c r="N122" s="89">
        <f>(résultats!P126-résultats!P161)/résultats!P162</f>
        <v>1.4756867412533405</v>
      </c>
      <c r="O122" s="89">
        <f>(résultats!Q126-résultats!Q161)/résultats!Q162</f>
        <v>1.5855422396863574</v>
      </c>
      <c r="P122" s="89">
        <f>(résultats!R126-résultats!R161)/résultats!R162</f>
        <v>1.4878850678201891</v>
      </c>
      <c r="Q122" s="89">
        <f>(résultats!S126-résultats!S161)/résultats!S162</f>
        <v>-1.1823738133508894</v>
      </c>
      <c r="R122" s="89">
        <f>(résultats!T126-résultats!T161)/résultats!T162</f>
        <v>-1.5262532644480726</v>
      </c>
      <c r="S122" s="89">
        <f>(résultats!U126-résultats!U161)/résultats!U162</f>
        <v>0.55721770455189656</v>
      </c>
      <c r="T122" s="89">
        <f>(résultats!V126-résultats!V161)/résultats!V162</f>
        <v>1.3716897060016517</v>
      </c>
      <c r="U122" s="89">
        <f>(résultats!W126-résultats!W161)/résultats!W162</f>
        <v>-0.11079286597278691</v>
      </c>
      <c r="V122" s="89">
        <f>(résultats!X126-résultats!X161)/résultats!X162</f>
        <v>0.88898673055787825</v>
      </c>
      <c r="W122" s="89">
        <f>(résultats!Y126-résultats!Y161)/résultats!Y162</f>
        <v>0.66937285219092957</v>
      </c>
      <c r="X122" s="89">
        <f>(résultats!Z126-résultats!Z161)/résultats!Z162</f>
        <v>5.0824209199898815E-2</v>
      </c>
      <c r="Y122" s="89">
        <f>(résultats!AA126-résultats!AA161)/résultats!AA162</f>
        <v>3.1074455724975141</v>
      </c>
      <c r="Z122" s="89" t="s">
        <v>12</v>
      </c>
      <c r="AA122" s="89" t="s">
        <v>12</v>
      </c>
      <c r="AB122" s="89" t="s">
        <v>12</v>
      </c>
      <c r="AC122" s="32"/>
      <c r="AD122" s="32">
        <f t="shared" si="4"/>
        <v>3.6918213020393029</v>
      </c>
      <c r="AE122" s="32"/>
      <c r="AF122" s="32"/>
      <c r="AG122" s="32"/>
      <c r="AH122" s="32"/>
      <c r="AI122" s="32"/>
      <c r="AJ122" s="32"/>
    </row>
    <row r="123" spans="1:36">
      <c r="A123" s="117"/>
      <c r="B123" s="119"/>
      <c r="C123" s="4" t="s">
        <v>23</v>
      </c>
      <c r="D123" s="41">
        <f t="shared" si="8"/>
        <v>90139</v>
      </c>
      <c r="E123" s="48">
        <f>(résultats!E127-résultats!E161)/résultats!E162</f>
        <v>-0.48602547572007326</v>
      </c>
      <c r="F123" s="48">
        <f>(résultats!F127-résultats!F161)/résultats!F162</f>
        <v>-1.484746540755461</v>
      </c>
      <c r="G123" s="48">
        <f>(résultats!G127-résultats!G161)/résultats!G162</f>
        <v>0.36315361339693908</v>
      </c>
      <c r="H123" s="48">
        <f>(résultats!H127-résultats!H161)/résultats!H162</f>
        <v>0.11401235839758371</v>
      </c>
      <c r="I123" s="48">
        <f>(résultats!I127-résultats!I161)/résultats!I162</f>
        <v>0.21484331618127392</v>
      </c>
      <c r="J123" s="48">
        <f>(résultats!J127-résultats!J161)/résultats!J162</f>
        <v>-0.28958349741091588</v>
      </c>
      <c r="K123" s="48">
        <f>(résultats!K127-résultats!K161)/résultats!K162</f>
        <v>1.6265537095757965</v>
      </c>
      <c r="L123" s="48">
        <f>(résultats!L127-résultats!L161)/résultats!L162</f>
        <v>1.5970895713629478</v>
      </c>
      <c r="M123" s="48">
        <f>(résultats!O127-résultats!O161)/résultats!O162</f>
        <v>1.1625772152432736</v>
      </c>
      <c r="N123" s="48">
        <f>(résultats!P127-résultats!P161)/résultats!P162</f>
        <v>1.3843194078291654</v>
      </c>
      <c r="O123" s="48">
        <f>(résultats!Q127-résultats!Q161)/résultats!Q162</f>
        <v>0.16160472443429863</v>
      </c>
      <c r="P123" s="48">
        <f>(résultats!R127-résultats!R161)/résultats!R162</f>
        <v>-0.33350741742292883</v>
      </c>
      <c r="Q123" s="48">
        <f>(résultats!S127-résultats!S161)/résultats!S162</f>
        <v>-1.7385733401137891</v>
      </c>
      <c r="R123" s="48">
        <f>(résultats!T127-résultats!T161)/résultats!T162</f>
        <v>-2.754982507396122</v>
      </c>
      <c r="S123" s="48">
        <f>(résultats!U127-résultats!U161)/résultats!U162</f>
        <v>-4.1625784453102463</v>
      </c>
      <c r="T123" s="48">
        <f>(résultats!V127-résultats!V161)/résultats!V162</f>
        <v>-1.6520496210257203</v>
      </c>
      <c r="U123" s="48">
        <f>(résultats!W127-résultats!W161)/résultats!W162</f>
        <v>-0.42880301408530136</v>
      </c>
      <c r="V123" s="48">
        <f>(résultats!X127-résultats!X161)/résultats!X162</f>
        <v>0.36805122174517363</v>
      </c>
      <c r="W123" s="48">
        <f>(résultats!Y127-résultats!Y161)/résultats!Y162</f>
        <v>0.35461165385640703</v>
      </c>
      <c r="X123" s="48">
        <f>(résultats!Z127-résultats!Z161)/résultats!Z162</f>
        <v>0.16853526154851248</v>
      </c>
      <c r="Y123" s="48">
        <f>(résultats!AA127-résultats!AA161)/résultats!AA162</f>
        <v>1.222035982939413</v>
      </c>
      <c r="Z123" s="48">
        <f>(résultats!AB127-résultats!AB161)/résultats!AB162</f>
        <v>0.52801347380591279</v>
      </c>
      <c r="AA123" s="48">
        <f>(résultats!AC127-résultats!AC161)/résultats!AC162</f>
        <v>-0.15867283314162808</v>
      </c>
      <c r="AB123" s="48">
        <f>(résultats!AD127-résultats!AD161)/résultats!AD162</f>
        <v>0.3117105396468301</v>
      </c>
      <c r="AC123" s="33"/>
      <c r="AD123" s="33">
        <f t="shared" si="4"/>
        <v>3.0996424483255041</v>
      </c>
      <c r="AE123" s="33"/>
      <c r="AF123" s="33"/>
      <c r="AG123" s="33"/>
      <c r="AH123" s="33"/>
      <c r="AI123" s="33"/>
      <c r="AJ123" s="33"/>
    </row>
    <row r="124" spans="1:36">
      <c r="A124" s="117"/>
      <c r="B124" s="119"/>
      <c r="C124" s="10" t="s">
        <v>24</v>
      </c>
      <c r="D124" s="41">
        <f t="shared" si="8"/>
        <v>90139</v>
      </c>
      <c r="E124" s="90" t="s">
        <v>12</v>
      </c>
      <c r="F124" s="90" t="s">
        <v>12</v>
      </c>
      <c r="G124" s="90" t="s">
        <v>12</v>
      </c>
      <c r="H124" s="90" t="s">
        <v>12</v>
      </c>
      <c r="I124" s="90" t="s">
        <v>12</v>
      </c>
      <c r="J124" s="90" t="s">
        <v>12</v>
      </c>
      <c r="K124" s="90" t="s">
        <v>12</v>
      </c>
      <c r="L124" s="90" t="s">
        <v>12</v>
      </c>
      <c r="M124" s="90" t="s">
        <v>12</v>
      </c>
      <c r="N124" s="90" t="s">
        <v>12</v>
      </c>
      <c r="O124" s="90" t="s">
        <v>12</v>
      </c>
      <c r="P124" s="90" t="s">
        <v>12</v>
      </c>
      <c r="Q124" s="90" t="s">
        <v>12</v>
      </c>
      <c r="R124" s="90" t="s">
        <v>12</v>
      </c>
      <c r="S124" s="90" t="s">
        <v>12</v>
      </c>
      <c r="T124" s="90" t="s">
        <v>12</v>
      </c>
      <c r="U124" s="90" t="s">
        <v>12</v>
      </c>
      <c r="V124" s="90" t="s">
        <v>12</v>
      </c>
      <c r="W124" s="90" t="s">
        <v>12</v>
      </c>
      <c r="X124" s="90" t="s">
        <v>12</v>
      </c>
      <c r="Y124" s="90" t="s">
        <v>12</v>
      </c>
      <c r="Z124" s="90" t="s">
        <v>12</v>
      </c>
      <c r="AA124" s="90" t="s">
        <v>12</v>
      </c>
      <c r="AB124" s="90" t="s">
        <v>12</v>
      </c>
      <c r="AC124" s="51" t="s">
        <v>12</v>
      </c>
      <c r="AD124" s="51" t="s">
        <v>12</v>
      </c>
      <c r="AE124" s="51" t="s">
        <v>12</v>
      </c>
      <c r="AF124" s="51" t="s">
        <v>12</v>
      </c>
      <c r="AG124" s="51" t="s">
        <v>12</v>
      </c>
      <c r="AH124" s="51" t="s">
        <v>12</v>
      </c>
      <c r="AI124" s="51"/>
      <c r="AJ124" s="51"/>
    </row>
    <row r="125" spans="1:36">
      <c r="A125" s="117"/>
      <c r="B125" s="119"/>
      <c r="C125" s="11" t="s">
        <v>25</v>
      </c>
      <c r="D125" s="41">
        <f t="shared" si="8"/>
        <v>90139</v>
      </c>
      <c r="E125" s="49" t="s">
        <v>12</v>
      </c>
      <c r="F125" s="49" t="s">
        <v>12</v>
      </c>
      <c r="G125" s="49" t="s">
        <v>12</v>
      </c>
      <c r="H125" s="49" t="s">
        <v>12</v>
      </c>
      <c r="I125" s="49" t="s">
        <v>12</v>
      </c>
      <c r="J125" s="49" t="s">
        <v>12</v>
      </c>
      <c r="K125" s="49" t="s">
        <v>12</v>
      </c>
      <c r="L125" s="49" t="s">
        <v>12</v>
      </c>
      <c r="M125" s="49" t="s">
        <v>12</v>
      </c>
      <c r="N125" s="49" t="s">
        <v>12</v>
      </c>
      <c r="O125" s="49" t="s">
        <v>12</v>
      </c>
      <c r="P125" s="49" t="s">
        <v>12</v>
      </c>
      <c r="Q125" s="49" t="s">
        <v>12</v>
      </c>
      <c r="R125" s="49" t="s">
        <v>12</v>
      </c>
      <c r="S125" s="49" t="s">
        <v>12</v>
      </c>
      <c r="T125" s="49" t="s">
        <v>12</v>
      </c>
      <c r="U125" s="49" t="s">
        <v>12</v>
      </c>
      <c r="V125" s="49" t="s">
        <v>12</v>
      </c>
      <c r="W125" s="49" t="s">
        <v>12</v>
      </c>
      <c r="X125" s="49" t="s">
        <v>12</v>
      </c>
      <c r="Y125" s="49" t="s">
        <v>12</v>
      </c>
      <c r="Z125" s="49" t="s">
        <v>12</v>
      </c>
      <c r="AA125" s="49" t="s">
        <v>12</v>
      </c>
      <c r="AB125" s="49" t="s">
        <v>12</v>
      </c>
      <c r="AC125" s="51" t="s">
        <v>12</v>
      </c>
      <c r="AD125" s="51" t="s">
        <v>12</v>
      </c>
      <c r="AE125" s="51" t="s">
        <v>12</v>
      </c>
      <c r="AF125" s="51" t="s">
        <v>12</v>
      </c>
      <c r="AG125" s="51" t="s">
        <v>12</v>
      </c>
      <c r="AH125" s="51" t="s">
        <v>12</v>
      </c>
      <c r="AI125" s="51"/>
      <c r="AJ125" s="51"/>
    </row>
    <row r="126" spans="1:36">
      <c r="A126" s="117"/>
      <c r="B126" s="119"/>
      <c r="C126" s="8" t="s">
        <v>26</v>
      </c>
      <c r="D126" s="41">
        <f t="shared" si="8"/>
        <v>90139</v>
      </c>
      <c r="E126" s="91" t="s">
        <v>12</v>
      </c>
      <c r="F126" s="91" t="s">
        <v>12</v>
      </c>
      <c r="G126" s="91" t="s">
        <v>12</v>
      </c>
      <c r="H126" s="91" t="s">
        <v>12</v>
      </c>
      <c r="I126" s="91" t="s">
        <v>12</v>
      </c>
      <c r="J126" s="91" t="s">
        <v>12</v>
      </c>
      <c r="K126" s="91" t="s">
        <v>12</v>
      </c>
      <c r="L126" s="91" t="s">
        <v>12</v>
      </c>
      <c r="M126" s="91" t="s">
        <v>12</v>
      </c>
      <c r="N126" s="91" t="s">
        <v>12</v>
      </c>
      <c r="O126" s="91" t="s">
        <v>12</v>
      </c>
      <c r="P126" s="91" t="s">
        <v>12</v>
      </c>
      <c r="Q126" s="91" t="s">
        <v>12</v>
      </c>
      <c r="R126" s="91" t="s">
        <v>12</v>
      </c>
      <c r="S126" s="91" t="s">
        <v>12</v>
      </c>
      <c r="T126" s="91" t="s">
        <v>12</v>
      </c>
      <c r="U126" s="91" t="s">
        <v>12</v>
      </c>
      <c r="V126" s="91" t="s">
        <v>12</v>
      </c>
      <c r="W126" s="91" t="s">
        <v>12</v>
      </c>
      <c r="X126" s="91" t="s">
        <v>12</v>
      </c>
      <c r="Y126" s="91" t="s">
        <v>12</v>
      </c>
      <c r="Z126" s="91" t="s">
        <v>12</v>
      </c>
      <c r="AA126" s="91" t="s">
        <v>12</v>
      </c>
      <c r="AB126" s="91" t="s">
        <v>12</v>
      </c>
      <c r="AC126" s="51" t="s">
        <v>12</v>
      </c>
      <c r="AD126" s="51" t="s">
        <v>12</v>
      </c>
      <c r="AE126" s="51" t="s">
        <v>12</v>
      </c>
      <c r="AF126" s="51" t="s">
        <v>12</v>
      </c>
      <c r="AG126" s="51" t="s">
        <v>12</v>
      </c>
      <c r="AH126" s="51" t="s">
        <v>12</v>
      </c>
      <c r="AI126" s="51"/>
      <c r="AJ126" s="51"/>
    </row>
    <row r="127" spans="1:36">
      <c r="A127" s="117"/>
      <c r="B127" s="119"/>
      <c r="C127" s="19" t="s">
        <v>27</v>
      </c>
      <c r="D127" s="41">
        <f t="shared" si="8"/>
        <v>90139</v>
      </c>
      <c r="E127" s="50">
        <f>(résultats!E131-résultats!E161)/résultats!E162</f>
        <v>0.68419292202600523</v>
      </c>
      <c r="F127" s="50">
        <f>(résultats!F131-résultats!F161)/résultats!F162</f>
        <v>1.1861526475682889</v>
      </c>
      <c r="G127" s="50">
        <f>(résultats!G131-résultats!G161)/résultats!G162</f>
        <v>2.4749679557992734</v>
      </c>
      <c r="H127" s="50">
        <f>(résultats!H131-résultats!H161)/résultats!H162</f>
        <v>2.2476443947024984</v>
      </c>
      <c r="I127" s="50">
        <f>(résultats!I131-résultats!I161)/résultats!I162</f>
        <v>2.54490160282087</v>
      </c>
      <c r="J127" s="50">
        <f>(résultats!J131-résultats!J161)/résultats!J162</f>
        <v>2.3447741294158981</v>
      </c>
      <c r="K127" s="50">
        <f>(résultats!K131-résultats!K161)/résultats!K162</f>
        <v>-1.6137464374346908</v>
      </c>
      <c r="L127" s="50">
        <f>(résultats!L131-résultats!L161)/résultats!L162</f>
        <v>-1.2572477362353702</v>
      </c>
      <c r="M127" s="50">
        <f>(résultats!O131-résultats!O161)/résultats!O162</f>
        <v>2.250556232278961</v>
      </c>
      <c r="N127" s="50">
        <f>(résultats!P131-résultats!P161)/résultats!P162</f>
        <v>2.0850603972264365</v>
      </c>
      <c r="O127" s="50">
        <f>(résultats!Q131-résultats!Q161)/résultats!Q162</f>
        <v>2.5558683891918181</v>
      </c>
      <c r="P127" s="50">
        <f>(résultats!R131-résultats!R161)/résultats!R162</f>
        <v>2.3020159135940186</v>
      </c>
      <c r="Q127" s="50">
        <f>(résultats!S131-résultats!S161)/résultats!S162</f>
        <v>-1.1633041152904464</v>
      </c>
      <c r="R127" s="50">
        <f>(résultats!T131-résultats!T161)/résultats!T162</f>
        <v>-1.721217683070823</v>
      </c>
      <c r="S127" s="50">
        <f>(résultats!U131-résultats!U161)/résultats!U162</f>
        <v>0.95458885806262694</v>
      </c>
      <c r="T127" s="50">
        <f>(résultats!V131-résultats!V161)/résultats!V162</f>
        <v>2.1003485386744845</v>
      </c>
      <c r="U127" s="50">
        <f>(résultats!W131-résultats!W161)/résultats!W162</f>
        <v>-8.9846089749806998E-2</v>
      </c>
      <c r="V127" s="50">
        <f>(résultats!X131-résultats!X161)/résultats!X162</f>
        <v>0.91213941983844293</v>
      </c>
      <c r="W127" s="50">
        <f>(résultats!Y131-résultats!Y161)/résultats!Y162</f>
        <v>0.68045599297735682</v>
      </c>
      <c r="X127" s="50">
        <f>(résultats!Z131-résultats!Z161)/résultats!Z162</f>
        <v>0.35740470912510724</v>
      </c>
      <c r="Y127" s="50">
        <f>(résultats!AA131-résultats!AA161)/résultats!AA162</f>
        <v>0.73406391238042379</v>
      </c>
      <c r="Z127" s="50">
        <f>(résultats!AB131-résultats!AB161)/résultats!AB162</f>
        <v>0.50325763516385391</v>
      </c>
      <c r="AA127" s="50">
        <f>(résultats!AC131-résultats!AC161)/résultats!AC162</f>
        <v>-0.1549728340584236</v>
      </c>
      <c r="AB127" s="50">
        <f>(résultats!AD131-résultats!AD161)/résultats!AD162</f>
        <v>-0.30885929467072432</v>
      </c>
      <c r="AC127" s="38"/>
      <c r="AD127" s="38">
        <f t="shared" si="4"/>
        <v>5.0354589492092785</v>
      </c>
      <c r="AE127" s="38"/>
      <c r="AF127" s="38"/>
      <c r="AG127" s="38"/>
      <c r="AH127" s="38"/>
      <c r="AI127" s="38"/>
      <c r="AJ127" s="38"/>
    </row>
    <row r="128" spans="1:36">
      <c r="A128" s="117"/>
      <c r="B128" s="120"/>
      <c r="C128" s="21" t="s">
        <v>28</v>
      </c>
      <c r="D128" s="41">
        <f t="shared" si="8"/>
        <v>90139</v>
      </c>
      <c r="E128" s="92">
        <f>(résultats!E132-résultats!E161)/résultats!E162</f>
        <v>0.11061143367389437</v>
      </c>
      <c r="F128" s="92">
        <f>(résultats!F132-résultats!F161)/résultats!F162</f>
        <v>0.36980752824037022</v>
      </c>
      <c r="G128" s="92">
        <f>(résultats!G132-résultats!G161)/résultats!G162</f>
        <v>1.3415658430859736</v>
      </c>
      <c r="H128" s="92">
        <f>(résultats!H132-résultats!H161)/résultats!H162</f>
        <v>1.1593649929561163</v>
      </c>
      <c r="I128" s="92">
        <f>(résultats!I132-résultats!I161)/résultats!I162</f>
        <v>1.3139677314399274</v>
      </c>
      <c r="J128" s="92">
        <f>(résultats!J132-résultats!J161)/résultats!J162</f>
        <v>1.1300995038167638</v>
      </c>
      <c r="K128" s="92">
        <f>(résultats!K132-résultats!K161)/résultats!K162</f>
        <v>-0.73461065913924484</v>
      </c>
      <c r="L128" s="92">
        <f>(résultats!L132-résultats!L161)/résultats!L162</f>
        <v>-0.43916735478041047</v>
      </c>
      <c r="M128" s="92">
        <f>(résultats!O132-résultats!O161)/résultats!O162</f>
        <v>1.3356436845856972</v>
      </c>
      <c r="N128" s="92">
        <f>(résultats!P132-résultats!P161)/résultats!P162</f>
        <v>1.2421064114542499</v>
      </c>
      <c r="O128" s="92">
        <f>(résultats!Q132-résultats!Q161)/résultats!Q162</f>
        <v>1.3097980785834784</v>
      </c>
      <c r="P128" s="92">
        <f>(résultats!R132-résultats!R161)/résultats!R162</f>
        <v>1.0984343006562667</v>
      </c>
      <c r="Q128" s="92">
        <f>(résultats!S132-résultats!S161)/résultats!S162</f>
        <v>-0.95989400264572866</v>
      </c>
      <c r="R128" s="92">
        <f>(résultats!T132-résultats!T161)/résultats!T162</f>
        <v>-1.4809127019776609</v>
      </c>
      <c r="S128" s="92">
        <f>(résultats!U132-résultats!U161)/résultats!U162</f>
        <v>0.37880616624095664</v>
      </c>
      <c r="T128" s="92">
        <f>(résultats!V132-résultats!V161)/résultats!V162</f>
        <v>0.27675317134354394</v>
      </c>
      <c r="U128" s="92">
        <f>(résultats!W132-résultats!W161)/résultats!W162</f>
        <v>-0.12793113742795234</v>
      </c>
      <c r="V128" s="92">
        <f>(résultats!X132-résultats!X161)/résultats!X162</f>
        <v>0.63430714847166703</v>
      </c>
      <c r="W128" s="92">
        <f>(résultats!Y132-résultats!Y161)/résultats!Y162</f>
        <v>0.52603089801980907</v>
      </c>
      <c r="X128" s="92">
        <f>(résultats!Z132-résultats!Z161)/résultats!Z162</f>
        <v>-8.4449042954244144E-2</v>
      </c>
      <c r="Y128" s="92">
        <f>(résultats!AA132-résultats!AA161)/résultats!AA162</f>
        <v>0.75391518866617269</v>
      </c>
      <c r="Z128" s="92" t="s">
        <v>12</v>
      </c>
      <c r="AA128" s="92" t="s">
        <v>12</v>
      </c>
      <c r="AB128" s="92" t="s">
        <v>12</v>
      </c>
      <c r="AC128" s="37"/>
      <c r="AD128" s="37">
        <f t="shared" si="4"/>
        <v>3.1369876885025016</v>
      </c>
      <c r="AE128" s="37"/>
      <c r="AF128" s="37"/>
      <c r="AG128" s="37"/>
      <c r="AH128" s="37"/>
      <c r="AI128" s="37"/>
      <c r="AJ128" s="37"/>
    </row>
    <row r="129" spans="1:36">
      <c r="A129" s="117"/>
      <c r="B129" s="118">
        <v>10</v>
      </c>
      <c r="C129" s="2" t="s">
        <v>16</v>
      </c>
      <c r="D129" s="41">
        <f>D115+11111+139</f>
        <v>101389</v>
      </c>
      <c r="E129" s="85">
        <f>(résultats!E133-résultats!E161)/résultats!E162</f>
        <v>-0.26824521479768054</v>
      </c>
      <c r="F129" s="85">
        <f>(résultats!F133-résultats!F161)/résultats!F162</f>
        <v>0.4498302089271029</v>
      </c>
      <c r="G129" s="85">
        <f>(résultats!G133-résultats!G161)/résultats!G162</f>
        <v>2.1523296534878056</v>
      </c>
      <c r="H129" s="85">
        <f>(résultats!H133-résultats!H161)/résultats!H162</f>
        <v>2.0078726438980419</v>
      </c>
      <c r="I129" s="85">
        <f>(résultats!I133-résultats!I161)/résultats!I162</f>
        <v>2.0947025816113758</v>
      </c>
      <c r="J129" s="85">
        <f>(résultats!J133-résultats!J161)/résultats!J162</f>
        <v>1.9381996829734658</v>
      </c>
      <c r="K129" s="85">
        <f>(résultats!K133-résultats!K161)/résultats!K162</f>
        <v>-1.0138382431923438</v>
      </c>
      <c r="L129" s="85">
        <f>(résultats!L133-résultats!L161)/résultats!L162</f>
        <v>-0.91677842296220546</v>
      </c>
      <c r="M129" s="85">
        <f>(résultats!O133-résultats!O161)/résultats!O162</f>
        <v>2.2817527632333894</v>
      </c>
      <c r="N129" s="85">
        <f>(résultats!P133-résultats!P161)/résultats!P162</f>
        <v>2.0782207522102203</v>
      </c>
      <c r="O129" s="85">
        <f>(résultats!Q133-résultats!Q161)/résultats!Q162</f>
        <v>2.0875921446113836</v>
      </c>
      <c r="P129" s="85">
        <f>(résultats!R133-résultats!R161)/résultats!R162</f>
        <v>1.899734260366611</v>
      </c>
      <c r="Q129" s="85">
        <f>(résultats!S133-résultats!S161)/résultats!S162</f>
        <v>-1.6368682837914301</v>
      </c>
      <c r="R129" s="85">
        <f>(résultats!T133-résultats!T161)/résultats!T162</f>
        <v>-2.1383508577985757</v>
      </c>
      <c r="S129" s="85">
        <f>(résultats!U133-résultats!U161)/résultats!U162</f>
        <v>5.7638588635363893E-3</v>
      </c>
      <c r="T129" s="85">
        <f>(résultats!V133-résultats!V161)/résultats!V162</f>
        <v>-3.497253247371114E-2</v>
      </c>
      <c r="U129" s="85">
        <f>(résultats!W133-résultats!W161)/résultats!W162</f>
        <v>-0.14030877792334986</v>
      </c>
      <c r="V129" s="85">
        <f>(résultats!X133-résultats!X161)/résultats!X162</f>
        <v>1.1089372787232423</v>
      </c>
      <c r="W129" s="85">
        <f>(résultats!Y133-résultats!Y161)/résultats!Y162</f>
        <v>0.77133774742605621</v>
      </c>
      <c r="X129" s="85">
        <f>(résultats!Z133-résultats!Z161)/résultats!Z162</f>
        <v>0.32069434724741397</v>
      </c>
      <c r="Y129" s="85">
        <f>(résultats!AA133-résultats!AA161)/résultats!AA162</f>
        <v>1.1080065586933672</v>
      </c>
      <c r="Z129" s="85" t="s">
        <v>12</v>
      </c>
      <c r="AA129" s="85" t="s">
        <v>12</v>
      </c>
      <c r="AB129" s="85" t="s">
        <v>12</v>
      </c>
      <c r="AC129" s="25"/>
      <c r="AD129" s="25">
        <f t="shared" si="4"/>
        <v>5.0312034654033386</v>
      </c>
      <c r="AE129" s="25"/>
      <c r="AF129" s="25"/>
      <c r="AG129" s="25"/>
      <c r="AH129" s="25"/>
      <c r="AI129" s="25"/>
      <c r="AJ129" s="25"/>
    </row>
    <row r="130" spans="1:36">
      <c r="A130" s="117"/>
      <c r="B130" s="119"/>
      <c r="C130" s="1" t="s">
        <v>15</v>
      </c>
      <c r="D130" s="41">
        <f t="shared" ref="D130:D142" si="9">D116+11111+139</f>
        <v>101389</v>
      </c>
      <c r="E130" s="43">
        <f>(résultats!E134-résultats!E161)/résultats!E162</f>
        <v>-0.22587308963967512</v>
      </c>
      <c r="F130" s="43">
        <f>(résultats!F134-résultats!F161)/résultats!F162</f>
        <v>-2.9547366371615529E-2</v>
      </c>
      <c r="G130" s="43">
        <f>(résultats!G134-résultats!G161)/résultats!G162</f>
        <v>1.0128555599654547</v>
      </c>
      <c r="H130" s="43">
        <f>(résultats!H134-résultats!H161)/résultats!H162</f>
        <v>0.72968522411260883</v>
      </c>
      <c r="I130" s="43">
        <f>(résultats!I134-résultats!I161)/résultats!I162</f>
        <v>0.94485626813501533</v>
      </c>
      <c r="J130" s="43">
        <f>(résultats!J134-résultats!J161)/résultats!J162</f>
        <v>0.63241872327970472</v>
      </c>
      <c r="K130" s="43">
        <f>(résultats!K134-résultats!K161)/résultats!K162</f>
        <v>-0.41989928471360255</v>
      </c>
      <c r="L130" s="43">
        <f>(résultats!L134-résultats!L161)/résultats!L162</f>
        <v>-0.11420102249691652</v>
      </c>
      <c r="M130" s="43">
        <f>(résultats!O134-résultats!O161)/résultats!O162</f>
        <v>1.1272954242829081</v>
      </c>
      <c r="N130" s="43">
        <f>(résultats!P134-résultats!P161)/résultats!P162</f>
        <v>0.88799346948259039</v>
      </c>
      <c r="O130" s="43">
        <f>(résultats!Q134-résultats!Q161)/résultats!Q162</f>
        <v>0.93451049751759296</v>
      </c>
      <c r="P130" s="43">
        <f>(résultats!R134-résultats!R161)/résultats!R162</f>
        <v>0.60752311652790902</v>
      </c>
      <c r="Q130" s="43">
        <f>(résultats!S134-résultats!S161)/résultats!S162</f>
        <v>-1.0329945118774253</v>
      </c>
      <c r="R130" s="43">
        <f>(résultats!T134-résultats!T161)/résultats!T162</f>
        <v>-1.3494250708134818</v>
      </c>
      <c r="S130" s="43">
        <f>(résultats!U134-résultats!U161)/résultats!U162</f>
        <v>-1.856498726977383E-2</v>
      </c>
      <c r="T130" s="43">
        <f>(résultats!V134-résultats!V161)/résultats!V162</f>
        <v>7.0234892564612891E-2</v>
      </c>
      <c r="U130" s="43">
        <f>(résultats!W134-résultats!W161)/résultats!W162</f>
        <v>-0.15030610293886276</v>
      </c>
      <c r="V130" s="43">
        <f>(résultats!X134-résultats!X161)/résultats!X162</f>
        <v>0.58800176991053821</v>
      </c>
      <c r="W130" s="43">
        <f>(résultats!Y134-résultats!Y161)/résultats!Y162</f>
        <v>0.50386461644695557</v>
      </c>
      <c r="X130" s="43">
        <f>(résultats!Z134-résultats!Z161)/résultats!Z162</f>
        <v>-2.6118283706397332E-2</v>
      </c>
      <c r="Y130" s="43">
        <f>(résultats!AA134-résultats!AA161)/résultats!AA162</f>
        <v>0.20962089236622136</v>
      </c>
      <c r="Z130" s="43">
        <f>(résultats!AB134-résultats!AB161)/résultats!AB162</f>
        <v>0.48840413197861859</v>
      </c>
      <c r="AA130" s="43">
        <f>(résultats!AC134-résultats!AC161)/résultats!AC162</f>
        <v>-0.15765214373936479</v>
      </c>
      <c r="AB130" s="43">
        <f>(résultats!AD134-résultats!AD161)/résultats!AD162</f>
        <v>0.93543047464619922</v>
      </c>
      <c r="AC130" s="26"/>
      <c r="AD130" s="26">
        <f t="shared" si="4"/>
        <v>2.327334548827996</v>
      </c>
      <c r="AE130" s="26"/>
      <c r="AF130" s="26"/>
      <c r="AG130" s="26"/>
      <c r="AH130" s="26"/>
      <c r="AI130" s="26"/>
      <c r="AJ130" s="26"/>
    </row>
    <row r="131" spans="1:36">
      <c r="A131" s="117"/>
      <c r="B131" s="119"/>
      <c r="C131" s="5" t="s">
        <v>14</v>
      </c>
      <c r="D131" s="41">
        <f t="shared" si="9"/>
        <v>101389</v>
      </c>
      <c r="E131" s="44">
        <f>(résultats!E135-résultats!E161)/résultats!E162</f>
        <v>-0.27447640967385739</v>
      </c>
      <c r="F131" s="44">
        <f>(résultats!F135-résultats!F161)/résultats!F162</f>
        <v>-2.4237804619889738E-2</v>
      </c>
      <c r="G131" s="44">
        <f>(résultats!G135-résultats!G161)/résultats!G162</f>
        <v>7.3036428639034839E-2</v>
      </c>
      <c r="H131" s="44">
        <f>(résultats!H135-résultats!H161)/résultats!H162</f>
        <v>-6.2159094141354079E-2</v>
      </c>
      <c r="I131" s="44">
        <f>(résultats!I135-résultats!I161)/résultats!I162</f>
        <v>2.0840490404012407E-2</v>
      </c>
      <c r="J131" s="44">
        <f>(résultats!J135-résultats!J161)/résultats!J162</f>
        <v>-0.147225069409154</v>
      </c>
      <c r="K131" s="44">
        <f>(résultats!K135-résultats!K161)/résultats!K162</f>
        <v>-2.8582717988356567E-2</v>
      </c>
      <c r="L131" s="44">
        <f>(résultats!L135-résultats!L161)/résultats!L162</f>
        <v>0.25787052125519316</v>
      </c>
      <c r="M131" s="44">
        <f>(résultats!O135-résultats!O161)/résultats!O162</f>
        <v>0.1559320110530594</v>
      </c>
      <c r="N131" s="44">
        <f>(résultats!P135-résultats!P161)/résultats!P162</f>
        <v>2.8004896122845822E-2</v>
      </c>
      <c r="O131" s="44">
        <f>(résultats!Q135-résultats!Q161)/résultats!Q162</f>
        <v>1.2400692056713512E-2</v>
      </c>
      <c r="P131" s="44">
        <f>(résultats!R135-résultats!R161)/résultats!R162</f>
        <v>-0.14875749150304121</v>
      </c>
      <c r="Q131" s="44">
        <f>(résultats!S135-résultats!S161)/résultats!S162</f>
        <v>-0.51811266424548252</v>
      </c>
      <c r="R131" s="44">
        <f>(résultats!T135-résultats!T161)/résultats!T162</f>
        <v>-0.17057044658288092</v>
      </c>
      <c r="S131" s="44">
        <f>(résultats!U135-résultats!U161)/résultats!U162</f>
        <v>-0.20508614095848357</v>
      </c>
      <c r="T131" s="44">
        <f>(résultats!V135-résultats!V161)/résultats!V162</f>
        <v>0.10920060554176961</v>
      </c>
      <c r="U131" s="44">
        <f>(résultats!W135-résultats!W161)/résultats!W162</f>
        <v>-0.14602153507507123</v>
      </c>
      <c r="V131" s="44">
        <f>(résultats!X135-résultats!X161)/résultats!X162</f>
        <v>0.19440605214093892</v>
      </c>
      <c r="W131" s="44">
        <f>(résultats!Y135-résultats!Y161)/résultats!Y162</f>
        <v>0.22900272494356919</v>
      </c>
      <c r="X131" s="44">
        <f>(résultats!Z135-résultats!Z161)/résultats!Z162</f>
        <v>-0.13547971118066909</v>
      </c>
      <c r="Y131" s="44">
        <f>(résultats!AA135-résultats!AA161)/résultats!AA162</f>
        <v>0.57017546862598567</v>
      </c>
      <c r="Z131" s="44">
        <f>(résultats!AB135-résultats!AB161)/résultats!AB162</f>
        <v>0.29283300670635376</v>
      </c>
      <c r="AA131" s="44">
        <f>(résultats!AC135-résultats!AC161)/résultats!AC162</f>
        <v>-0.15829007461577935</v>
      </c>
      <c r="AB131" s="44">
        <f>(résultats!AD135-résultats!AD161)/résultats!AD162</f>
        <v>8.1753189874334845E-2</v>
      </c>
      <c r="AC131" s="27"/>
      <c r="AD131" s="27">
        <f t="shared" si="4"/>
        <v>3.7715719416679144E-2</v>
      </c>
      <c r="AE131" s="27"/>
      <c r="AF131" s="27"/>
      <c r="AG131" s="27"/>
      <c r="AH131" s="27"/>
      <c r="AI131" s="27"/>
      <c r="AJ131" s="27"/>
    </row>
    <row r="132" spans="1:36">
      <c r="A132" s="117"/>
      <c r="B132" s="119"/>
      <c r="C132" s="12" t="s">
        <v>11</v>
      </c>
      <c r="D132" s="41">
        <f t="shared" si="9"/>
        <v>101389</v>
      </c>
      <c r="E132" s="45">
        <f>(résultats!E136-résultats!E161)/résultats!E162</f>
        <v>0.22557697913936375</v>
      </c>
      <c r="F132" s="45">
        <f>(résultats!F136-résultats!F161)/résultats!F162</f>
        <v>0.87971508361151407</v>
      </c>
      <c r="G132" s="45">
        <f>(résultats!G136-résultats!G161)/résultats!G162</f>
        <v>0.66335646119360592</v>
      </c>
      <c r="H132" s="45">
        <f>(résultats!H136-résultats!H161)/résultats!H162</f>
        <v>0.51649372755086898</v>
      </c>
      <c r="I132" s="45">
        <f>(résultats!I136-résultats!I161)/résultats!I162</f>
        <v>0.67134040014063789</v>
      </c>
      <c r="J132" s="45">
        <f>(résultats!J136-résultats!J161)/résultats!J162</f>
        <v>0.63425461918085602</v>
      </c>
      <c r="K132" s="45">
        <f>(résultats!K136-résultats!K161)/résultats!K162</f>
        <v>-0.66828581732140657</v>
      </c>
      <c r="L132" s="45">
        <f>(résultats!L136-résultats!L161)/résultats!L162</f>
        <v>-0.24697014174179352</v>
      </c>
      <c r="M132" s="45">
        <f>(résultats!O136-résultats!O161)/résultats!O162</f>
        <v>0.52379110522402672</v>
      </c>
      <c r="N132" s="45">
        <f>(résultats!P136-résultats!P161)/résultats!P162</f>
        <v>0.72384198909339581</v>
      </c>
      <c r="O132" s="45">
        <f>(résultats!Q136-résultats!Q161)/résultats!Q162</f>
        <v>0.67843060576008296</v>
      </c>
      <c r="P132" s="45">
        <f>(résultats!R136-résultats!R161)/résultats!R162</f>
        <v>0.62739986488059107</v>
      </c>
      <c r="Q132" s="45">
        <f>(résultats!S136-résultats!S161)/résultats!S162</f>
        <v>-0.21935406129855436</v>
      </c>
      <c r="R132" s="45">
        <f>(résultats!T136-résultats!T161)/résultats!T162</f>
        <v>-0.17963855907696066</v>
      </c>
      <c r="S132" s="45">
        <f>(résultats!U136-résultats!U161)/résultats!U162</f>
        <v>1.1654388578846469</v>
      </c>
      <c r="T132" s="45">
        <f>(résultats!V136-résultats!V161)/résultats!V162</f>
        <v>1.2469994244747495</v>
      </c>
      <c r="U132" s="45">
        <f>(résultats!W136-résultats!W161)/résultats!W162</f>
        <v>-9.0798215941760449E-2</v>
      </c>
      <c r="V132" s="45">
        <f>(résultats!X136-résultats!X161)/résultats!X162</f>
        <v>0.32174584318404431</v>
      </c>
      <c r="W132" s="45">
        <f>(résultats!Y136-résultats!Y161)/résultats!Y162</f>
        <v>0.32210110754955512</v>
      </c>
      <c r="X132" s="45">
        <f>(résultats!Z136-résultats!Z161)/résultats!Z162</f>
        <v>3.5757567666868391E-2</v>
      </c>
      <c r="Y132" s="45">
        <f>(résultats!AA136-résultats!AA161)/résultats!AA162</f>
        <v>5.4042285196515279E-2</v>
      </c>
      <c r="Z132" s="45" t="s">
        <v>12</v>
      </c>
      <c r="AA132" s="45" t="s">
        <v>12</v>
      </c>
      <c r="AB132" s="45" t="s">
        <v>12</v>
      </c>
      <c r="AC132" s="28"/>
      <c r="AD132" s="28">
        <f t="shared" ref="AD132:AD146" si="10" xml:space="preserve"> 0.865*N132+0.814*P132-0.789*R132</f>
        <v>1.2785616336903103</v>
      </c>
      <c r="AE132" s="28"/>
      <c r="AF132" s="28"/>
      <c r="AG132" s="28"/>
      <c r="AH132" s="28"/>
      <c r="AI132" s="28"/>
      <c r="AJ132" s="28"/>
    </row>
    <row r="133" spans="1:36">
      <c r="A133" s="117"/>
      <c r="B133" s="119"/>
      <c r="C133" s="3" t="s">
        <v>8</v>
      </c>
      <c r="D133" s="41">
        <f t="shared" si="9"/>
        <v>101389</v>
      </c>
      <c r="E133" s="88" t="s">
        <v>12</v>
      </c>
      <c r="F133" s="88" t="s">
        <v>12</v>
      </c>
      <c r="G133" s="88" t="s">
        <v>12</v>
      </c>
      <c r="H133" s="88" t="s">
        <v>12</v>
      </c>
      <c r="I133" s="88" t="s">
        <v>12</v>
      </c>
      <c r="J133" s="88" t="s">
        <v>12</v>
      </c>
      <c r="K133" s="88" t="s">
        <v>12</v>
      </c>
      <c r="L133" s="88" t="s">
        <v>12</v>
      </c>
      <c r="M133" s="88" t="s">
        <v>12</v>
      </c>
      <c r="N133" s="88" t="s">
        <v>12</v>
      </c>
      <c r="O133" s="88" t="s">
        <v>12</v>
      </c>
      <c r="P133" s="88" t="s">
        <v>12</v>
      </c>
      <c r="Q133" s="88" t="s">
        <v>12</v>
      </c>
      <c r="R133" s="88" t="s">
        <v>12</v>
      </c>
      <c r="S133" s="88" t="s">
        <v>12</v>
      </c>
      <c r="T133" s="88" t="s">
        <v>12</v>
      </c>
      <c r="U133" s="88" t="s">
        <v>12</v>
      </c>
      <c r="V133" s="88" t="s">
        <v>12</v>
      </c>
      <c r="W133" s="88" t="s">
        <v>12</v>
      </c>
      <c r="X133" s="88" t="s">
        <v>12</v>
      </c>
      <c r="Y133" s="88" t="s">
        <v>12</v>
      </c>
      <c r="Z133" s="88" t="s">
        <v>12</v>
      </c>
      <c r="AA133" s="88" t="s">
        <v>12</v>
      </c>
      <c r="AB133" s="88" t="s">
        <v>12</v>
      </c>
      <c r="AC133" s="51" t="s">
        <v>12</v>
      </c>
      <c r="AD133" s="51" t="s">
        <v>12</v>
      </c>
      <c r="AE133" s="51" t="s">
        <v>12</v>
      </c>
      <c r="AF133" s="51" t="s">
        <v>12</v>
      </c>
      <c r="AG133" s="51" t="s">
        <v>12</v>
      </c>
      <c r="AH133" s="51" t="s">
        <v>12</v>
      </c>
      <c r="AI133" s="51"/>
      <c r="AJ133" s="51"/>
    </row>
    <row r="134" spans="1:36">
      <c r="A134" s="117"/>
      <c r="B134" s="119"/>
      <c r="C134" s="9" t="s">
        <v>7</v>
      </c>
      <c r="D134" s="41">
        <f t="shared" si="9"/>
        <v>101389</v>
      </c>
      <c r="E134" s="46" t="s">
        <v>12</v>
      </c>
      <c r="F134" s="46" t="s">
        <v>12</v>
      </c>
      <c r="G134" s="46" t="s">
        <v>12</v>
      </c>
      <c r="H134" s="46" t="s">
        <v>12</v>
      </c>
      <c r="I134" s="46" t="s">
        <v>12</v>
      </c>
      <c r="J134" s="46" t="s">
        <v>12</v>
      </c>
      <c r="K134" s="46" t="s">
        <v>12</v>
      </c>
      <c r="L134" s="46" t="s">
        <v>12</v>
      </c>
      <c r="M134" s="46" t="s">
        <v>12</v>
      </c>
      <c r="N134" s="46" t="s">
        <v>12</v>
      </c>
      <c r="O134" s="46" t="s">
        <v>12</v>
      </c>
      <c r="P134" s="46" t="s">
        <v>12</v>
      </c>
      <c r="Q134" s="46" t="s">
        <v>12</v>
      </c>
      <c r="R134" s="46" t="s">
        <v>12</v>
      </c>
      <c r="S134" s="46" t="s">
        <v>12</v>
      </c>
      <c r="T134" s="46" t="s">
        <v>12</v>
      </c>
      <c r="U134" s="46" t="s">
        <v>12</v>
      </c>
      <c r="V134" s="46" t="s">
        <v>12</v>
      </c>
      <c r="W134" s="46" t="s">
        <v>12</v>
      </c>
      <c r="X134" s="46" t="s">
        <v>12</v>
      </c>
      <c r="Y134" s="46" t="s">
        <v>12</v>
      </c>
      <c r="Z134" s="46" t="s">
        <v>12</v>
      </c>
      <c r="AA134" s="46" t="s">
        <v>12</v>
      </c>
      <c r="AB134" s="46" t="s">
        <v>12</v>
      </c>
      <c r="AC134" s="51" t="s">
        <v>12</v>
      </c>
      <c r="AD134" s="51" t="s">
        <v>12</v>
      </c>
      <c r="AE134" s="51" t="s">
        <v>12</v>
      </c>
      <c r="AF134" s="51" t="s">
        <v>12</v>
      </c>
      <c r="AG134" s="51" t="s">
        <v>12</v>
      </c>
      <c r="AH134" s="51" t="s">
        <v>12</v>
      </c>
      <c r="AI134" s="51"/>
      <c r="AJ134" s="51"/>
    </row>
    <row r="135" spans="1:36">
      <c r="A135" s="117"/>
      <c r="B135" s="119"/>
      <c r="C135" s="7" t="s">
        <v>18</v>
      </c>
      <c r="D135" s="41">
        <f t="shared" si="9"/>
        <v>101389</v>
      </c>
      <c r="E135" s="47" t="s">
        <v>12</v>
      </c>
      <c r="F135" s="47" t="s">
        <v>12</v>
      </c>
      <c r="G135" s="47" t="s">
        <v>12</v>
      </c>
      <c r="H135" s="47" t="s">
        <v>12</v>
      </c>
      <c r="I135" s="47" t="s">
        <v>12</v>
      </c>
      <c r="J135" s="47" t="s">
        <v>12</v>
      </c>
      <c r="K135" s="47" t="s">
        <v>12</v>
      </c>
      <c r="L135" s="47" t="s">
        <v>12</v>
      </c>
      <c r="M135" s="47" t="s">
        <v>12</v>
      </c>
      <c r="N135" s="47" t="s">
        <v>12</v>
      </c>
      <c r="O135" s="47" t="s">
        <v>12</v>
      </c>
      <c r="P135" s="47" t="s">
        <v>12</v>
      </c>
      <c r="Q135" s="47" t="s">
        <v>12</v>
      </c>
      <c r="R135" s="47" t="s">
        <v>12</v>
      </c>
      <c r="S135" s="47" t="s">
        <v>12</v>
      </c>
      <c r="T135" s="47" t="s">
        <v>12</v>
      </c>
      <c r="U135" s="47" t="s">
        <v>12</v>
      </c>
      <c r="V135" s="47" t="s">
        <v>12</v>
      </c>
      <c r="W135" s="47" t="s">
        <v>12</v>
      </c>
      <c r="X135" s="47" t="s">
        <v>12</v>
      </c>
      <c r="Y135" s="47" t="s">
        <v>12</v>
      </c>
      <c r="Z135" s="47" t="s">
        <v>12</v>
      </c>
      <c r="AA135" s="47" t="s">
        <v>12</v>
      </c>
      <c r="AB135" s="47" t="s">
        <v>12</v>
      </c>
      <c r="AC135" s="51" t="s">
        <v>12</v>
      </c>
      <c r="AD135" s="51" t="s">
        <v>12</v>
      </c>
      <c r="AE135" s="51" t="s">
        <v>12</v>
      </c>
      <c r="AF135" s="51" t="s">
        <v>12</v>
      </c>
      <c r="AG135" s="51" t="s">
        <v>12</v>
      </c>
      <c r="AH135" s="51" t="s">
        <v>12</v>
      </c>
      <c r="AI135" s="51"/>
      <c r="AJ135" s="51"/>
    </row>
    <row r="136" spans="1:36">
      <c r="A136" s="117"/>
      <c r="B136" s="119"/>
      <c r="C136" s="6" t="s">
        <v>19</v>
      </c>
      <c r="D136" s="41">
        <f t="shared" si="9"/>
        <v>101389</v>
      </c>
      <c r="E136" s="89" t="s">
        <v>12</v>
      </c>
      <c r="F136" s="89" t="s">
        <v>12</v>
      </c>
      <c r="G136" s="89" t="s">
        <v>12</v>
      </c>
      <c r="H136" s="89" t="s">
        <v>12</v>
      </c>
      <c r="I136" s="89" t="s">
        <v>12</v>
      </c>
      <c r="J136" s="89" t="s">
        <v>12</v>
      </c>
      <c r="K136" s="89" t="s">
        <v>12</v>
      </c>
      <c r="L136" s="89" t="s">
        <v>12</v>
      </c>
      <c r="M136" s="89" t="s">
        <v>12</v>
      </c>
      <c r="N136" s="89" t="s">
        <v>12</v>
      </c>
      <c r="O136" s="89" t="s">
        <v>12</v>
      </c>
      <c r="P136" s="89" t="s">
        <v>12</v>
      </c>
      <c r="Q136" s="89" t="s">
        <v>12</v>
      </c>
      <c r="R136" s="89" t="s">
        <v>12</v>
      </c>
      <c r="S136" s="89" t="s">
        <v>12</v>
      </c>
      <c r="T136" s="89" t="s">
        <v>12</v>
      </c>
      <c r="U136" s="89" t="s">
        <v>12</v>
      </c>
      <c r="V136" s="89" t="s">
        <v>12</v>
      </c>
      <c r="W136" s="89" t="s">
        <v>12</v>
      </c>
      <c r="X136" s="89" t="s">
        <v>12</v>
      </c>
      <c r="Y136" s="89" t="s">
        <v>12</v>
      </c>
      <c r="Z136" s="89" t="s">
        <v>12</v>
      </c>
      <c r="AA136" s="89" t="s">
        <v>12</v>
      </c>
      <c r="AB136" s="89" t="s">
        <v>12</v>
      </c>
      <c r="AC136" s="51" t="s">
        <v>12</v>
      </c>
      <c r="AD136" s="51" t="s">
        <v>12</v>
      </c>
      <c r="AE136" s="51" t="s">
        <v>12</v>
      </c>
      <c r="AF136" s="51" t="s">
        <v>12</v>
      </c>
      <c r="AG136" s="51" t="s">
        <v>12</v>
      </c>
      <c r="AH136" s="51" t="s">
        <v>12</v>
      </c>
      <c r="AI136" s="51"/>
      <c r="AJ136" s="51"/>
    </row>
    <row r="137" spans="1:36">
      <c r="A137" s="117"/>
      <c r="B137" s="119"/>
      <c r="C137" s="4" t="s">
        <v>23</v>
      </c>
      <c r="D137" s="41">
        <f t="shared" si="9"/>
        <v>101389</v>
      </c>
      <c r="E137" s="48">
        <f>(résultats!E141-résultats!E161)/résultats!E162</f>
        <v>0.59820243273476004</v>
      </c>
      <c r="F137" s="48">
        <f>(résultats!F141-résultats!F161)/résultats!F162</f>
        <v>1.6801315176842553</v>
      </c>
      <c r="G137" s="48">
        <f>(résultats!G141-résultats!G161)/résultats!G162</f>
        <v>4.0424652388952769</v>
      </c>
      <c r="H137" s="48">
        <f>(résultats!H141-résultats!H161)/résultats!H162</f>
        <v>3.8954141092684487</v>
      </c>
      <c r="I137" s="48">
        <f>(résultats!I141-résultats!I161)/résultats!I162</f>
        <v>4.1543940316315311</v>
      </c>
      <c r="J137" s="48">
        <f>(résultats!J141-résultats!J161)/résultats!J162</f>
        <v>4.0406064724417323</v>
      </c>
      <c r="K137" s="48">
        <f>(résultats!K141-résultats!K161)/résultats!K162</f>
        <v>-2.1081981331866744</v>
      </c>
      <c r="L137" s="48">
        <f>(résultats!L141-résultats!L161)/résultats!L162</f>
        <v>-2.0598251367006588</v>
      </c>
      <c r="M137" s="48">
        <f>(résultats!O141-résultats!O161)/résultats!O162</f>
        <v>3.9632086429497497</v>
      </c>
      <c r="N137" s="48">
        <f>(résultats!P141-résultats!P161)/résultats!P162</f>
        <v>4.0082911458429242</v>
      </c>
      <c r="O137" s="48">
        <f>(résultats!Q141-résultats!Q161)/résultats!Q162</f>
        <v>4.1538957918122152</v>
      </c>
      <c r="P137" s="48">
        <f>(résultats!R141-résultats!R161)/résultats!R162</f>
        <v>3.9428118233193015</v>
      </c>
      <c r="Q137" s="48">
        <f>(résultats!S141-résultats!S161)/résultats!S162</f>
        <v>-1.7703561702145243</v>
      </c>
      <c r="R137" s="48">
        <f>(résultats!T141-résultats!T161)/résultats!T162</f>
        <v>-2.8501976885839819</v>
      </c>
      <c r="S137" s="48">
        <f>(résultats!U141-résultats!U161)/résultats!U162</f>
        <v>0.79239655050722668</v>
      </c>
      <c r="T137" s="48">
        <f>(résultats!V141-résultats!V161)/résultats!V162</f>
        <v>0.45209887974074953</v>
      </c>
      <c r="U137" s="48">
        <f>(résultats!W141-résultats!W161)/résultats!W162</f>
        <v>-0.11888593860439291</v>
      </c>
      <c r="V137" s="48">
        <f>(résultats!X141-résultats!X161)/résultats!X162</f>
        <v>1.5604147196942528</v>
      </c>
      <c r="W137" s="48">
        <f>(résultats!Y141-résultats!Y161)/résultats!Y162</f>
        <v>0.94940687606131513</v>
      </c>
      <c r="X137" s="48">
        <f>(résultats!Z141-résultats!Z161)/résultats!Z162</f>
        <v>0.71324333121403105</v>
      </c>
      <c r="Y137" s="48">
        <f>(résultats!AA141-résultats!AA161)/résultats!AA162</f>
        <v>1.2631235082750327</v>
      </c>
      <c r="Z137" s="48">
        <f>(résultats!AB141-résultats!AB161)/résultats!AB162</f>
        <v>0.27179054386060386</v>
      </c>
      <c r="AA137" s="48">
        <f>(résultats!AC141-résultats!AC161)/résultats!AC162</f>
        <v>-0.15746076447644042</v>
      </c>
      <c r="AB137" s="48">
        <f>(résultats!AD141-résultats!AD161)/résultats!AD162</f>
        <v>1.0614345019187992</v>
      </c>
      <c r="AC137" s="33"/>
      <c r="AD137" s="33">
        <f t="shared" si="10"/>
        <v>8.9254266416288015</v>
      </c>
      <c r="AE137" s="33"/>
      <c r="AF137" s="33"/>
      <c r="AG137" s="33"/>
      <c r="AH137" s="33"/>
      <c r="AI137" s="33"/>
      <c r="AJ137" s="33"/>
    </row>
    <row r="138" spans="1:36">
      <c r="A138" s="117"/>
      <c r="B138" s="119"/>
      <c r="C138" s="10" t="s">
        <v>24</v>
      </c>
      <c r="D138" s="41">
        <f t="shared" si="9"/>
        <v>101389</v>
      </c>
      <c r="E138" s="90" t="s">
        <v>12</v>
      </c>
      <c r="F138" s="90" t="s">
        <v>12</v>
      </c>
      <c r="G138" s="90" t="s">
        <v>12</v>
      </c>
      <c r="H138" s="90" t="s">
        <v>12</v>
      </c>
      <c r="I138" s="90" t="s">
        <v>12</v>
      </c>
      <c r="J138" s="90" t="s">
        <v>12</v>
      </c>
      <c r="K138" s="90" t="s">
        <v>12</v>
      </c>
      <c r="L138" s="90" t="s">
        <v>12</v>
      </c>
      <c r="M138" s="90" t="s">
        <v>12</v>
      </c>
      <c r="N138" s="90" t="s">
        <v>12</v>
      </c>
      <c r="O138" s="90" t="s">
        <v>12</v>
      </c>
      <c r="P138" s="90" t="s">
        <v>12</v>
      </c>
      <c r="Q138" s="90" t="s">
        <v>12</v>
      </c>
      <c r="R138" s="90" t="s">
        <v>12</v>
      </c>
      <c r="S138" s="90" t="s">
        <v>12</v>
      </c>
      <c r="T138" s="90" t="s">
        <v>12</v>
      </c>
      <c r="U138" s="90" t="s">
        <v>12</v>
      </c>
      <c r="V138" s="90" t="s">
        <v>12</v>
      </c>
      <c r="W138" s="90" t="s">
        <v>12</v>
      </c>
      <c r="X138" s="90" t="s">
        <v>12</v>
      </c>
      <c r="Y138" s="90" t="s">
        <v>12</v>
      </c>
      <c r="Z138" s="90" t="s">
        <v>12</v>
      </c>
      <c r="AA138" s="90" t="s">
        <v>12</v>
      </c>
      <c r="AB138" s="90" t="s">
        <v>12</v>
      </c>
      <c r="AC138" s="51" t="s">
        <v>12</v>
      </c>
      <c r="AD138" s="51" t="s">
        <v>12</v>
      </c>
      <c r="AE138" s="51" t="s">
        <v>12</v>
      </c>
      <c r="AF138" s="51" t="s">
        <v>12</v>
      </c>
      <c r="AG138" s="51" t="s">
        <v>12</v>
      </c>
      <c r="AH138" s="51" t="s">
        <v>12</v>
      </c>
      <c r="AI138" s="51"/>
      <c r="AJ138" s="51"/>
    </row>
    <row r="139" spans="1:36">
      <c r="A139" s="117"/>
      <c r="B139" s="119"/>
      <c r="C139" s="11" t="s">
        <v>25</v>
      </c>
      <c r="D139" s="41">
        <f t="shared" si="9"/>
        <v>101389</v>
      </c>
      <c r="E139" s="49" t="s">
        <v>12</v>
      </c>
      <c r="F139" s="49" t="s">
        <v>12</v>
      </c>
      <c r="G139" s="49" t="s">
        <v>12</v>
      </c>
      <c r="H139" s="49" t="s">
        <v>12</v>
      </c>
      <c r="I139" s="49" t="s">
        <v>12</v>
      </c>
      <c r="J139" s="49" t="s">
        <v>12</v>
      </c>
      <c r="K139" s="49" t="s">
        <v>12</v>
      </c>
      <c r="L139" s="49" t="s">
        <v>12</v>
      </c>
      <c r="M139" s="49" t="s">
        <v>12</v>
      </c>
      <c r="N139" s="49" t="s">
        <v>12</v>
      </c>
      <c r="O139" s="49" t="s">
        <v>12</v>
      </c>
      <c r="P139" s="49" t="s">
        <v>12</v>
      </c>
      <c r="Q139" s="49" t="s">
        <v>12</v>
      </c>
      <c r="R139" s="49" t="s">
        <v>12</v>
      </c>
      <c r="S139" s="49" t="s">
        <v>12</v>
      </c>
      <c r="T139" s="49" t="s">
        <v>12</v>
      </c>
      <c r="U139" s="49" t="s">
        <v>12</v>
      </c>
      <c r="V139" s="49" t="s">
        <v>12</v>
      </c>
      <c r="W139" s="49" t="s">
        <v>12</v>
      </c>
      <c r="X139" s="49" t="s">
        <v>12</v>
      </c>
      <c r="Y139" s="49" t="s">
        <v>12</v>
      </c>
      <c r="Z139" s="49" t="s">
        <v>12</v>
      </c>
      <c r="AA139" s="49" t="s">
        <v>12</v>
      </c>
      <c r="AB139" s="49" t="s">
        <v>12</v>
      </c>
      <c r="AC139" s="51" t="s">
        <v>12</v>
      </c>
      <c r="AD139" s="51" t="s">
        <v>12</v>
      </c>
      <c r="AE139" s="51" t="s">
        <v>12</v>
      </c>
      <c r="AF139" s="51" t="s">
        <v>12</v>
      </c>
      <c r="AG139" s="51" t="s">
        <v>12</v>
      </c>
      <c r="AH139" s="51" t="s">
        <v>12</v>
      </c>
      <c r="AI139" s="51"/>
      <c r="AJ139" s="51"/>
    </row>
    <row r="140" spans="1:36">
      <c r="A140" s="117"/>
      <c r="B140" s="119"/>
      <c r="C140" s="8" t="s">
        <v>26</v>
      </c>
      <c r="D140" s="41">
        <f t="shared" si="9"/>
        <v>101389</v>
      </c>
      <c r="E140" s="91" t="s">
        <v>12</v>
      </c>
      <c r="F140" s="91" t="s">
        <v>12</v>
      </c>
      <c r="G140" s="91" t="s">
        <v>12</v>
      </c>
      <c r="H140" s="91" t="s">
        <v>12</v>
      </c>
      <c r="I140" s="91" t="s">
        <v>12</v>
      </c>
      <c r="J140" s="91" t="s">
        <v>12</v>
      </c>
      <c r="K140" s="91" t="s">
        <v>12</v>
      </c>
      <c r="L140" s="91" t="s">
        <v>12</v>
      </c>
      <c r="M140" s="91" t="s">
        <v>12</v>
      </c>
      <c r="N140" s="91" t="s">
        <v>12</v>
      </c>
      <c r="O140" s="91" t="s">
        <v>12</v>
      </c>
      <c r="P140" s="91" t="s">
        <v>12</v>
      </c>
      <c r="Q140" s="91" t="s">
        <v>12</v>
      </c>
      <c r="R140" s="91" t="s">
        <v>12</v>
      </c>
      <c r="S140" s="91" t="s">
        <v>12</v>
      </c>
      <c r="T140" s="91" t="s">
        <v>12</v>
      </c>
      <c r="U140" s="91" t="s">
        <v>12</v>
      </c>
      <c r="V140" s="91" t="s">
        <v>12</v>
      </c>
      <c r="W140" s="91" t="s">
        <v>12</v>
      </c>
      <c r="X140" s="91" t="s">
        <v>12</v>
      </c>
      <c r="Y140" s="91" t="s">
        <v>12</v>
      </c>
      <c r="Z140" s="91" t="s">
        <v>12</v>
      </c>
      <c r="AA140" s="91" t="s">
        <v>12</v>
      </c>
      <c r="AB140" s="91" t="s">
        <v>12</v>
      </c>
      <c r="AC140" s="51" t="s">
        <v>12</v>
      </c>
      <c r="AD140" s="51" t="s">
        <v>12</v>
      </c>
      <c r="AE140" s="51" t="s">
        <v>12</v>
      </c>
      <c r="AF140" s="51" t="s">
        <v>12</v>
      </c>
      <c r="AG140" s="51" t="s">
        <v>12</v>
      </c>
      <c r="AH140" s="51" t="s">
        <v>12</v>
      </c>
      <c r="AI140" s="51"/>
      <c r="AJ140" s="51"/>
    </row>
    <row r="141" spans="1:36">
      <c r="A141" s="117"/>
      <c r="B141" s="119"/>
      <c r="C141" s="19" t="s">
        <v>27</v>
      </c>
      <c r="D141" s="41">
        <f t="shared" si="9"/>
        <v>101389</v>
      </c>
      <c r="E141" s="50" t="s">
        <v>12</v>
      </c>
      <c r="F141" s="50" t="s">
        <v>12</v>
      </c>
      <c r="G141" s="50" t="s">
        <v>12</v>
      </c>
      <c r="H141" s="50" t="s">
        <v>12</v>
      </c>
      <c r="I141" s="50" t="s">
        <v>12</v>
      </c>
      <c r="J141" s="50" t="s">
        <v>12</v>
      </c>
      <c r="K141" s="50" t="s">
        <v>12</v>
      </c>
      <c r="L141" s="50" t="s">
        <v>12</v>
      </c>
      <c r="M141" s="50" t="s">
        <v>12</v>
      </c>
      <c r="N141" s="50" t="s">
        <v>12</v>
      </c>
      <c r="O141" s="50" t="s">
        <v>12</v>
      </c>
      <c r="P141" s="50" t="s">
        <v>12</v>
      </c>
      <c r="Q141" s="50" t="s">
        <v>12</v>
      </c>
      <c r="R141" s="50" t="s">
        <v>12</v>
      </c>
      <c r="S141" s="50" t="s">
        <v>12</v>
      </c>
      <c r="T141" s="50" t="s">
        <v>12</v>
      </c>
      <c r="U141" s="50" t="s">
        <v>12</v>
      </c>
      <c r="V141" s="50" t="s">
        <v>12</v>
      </c>
      <c r="W141" s="50" t="s">
        <v>12</v>
      </c>
      <c r="X141" s="50" t="s">
        <v>12</v>
      </c>
      <c r="Y141" s="50" t="s">
        <v>12</v>
      </c>
      <c r="Z141" s="50" t="s">
        <v>12</v>
      </c>
      <c r="AA141" s="50" t="s">
        <v>12</v>
      </c>
      <c r="AB141" s="50" t="s">
        <v>12</v>
      </c>
      <c r="AC141" s="51" t="s">
        <v>12</v>
      </c>
      <c r="AD141" s="51" t="s">
        <v>12</v>
      </c>
      <c r="AE141" s="51" t="s">
        <v>12</v>
      </c>
      <c r="AF141" s="51" t="s">
        <v>12</v>
      </c>
      <c r="AG141" s="51" t="s">
        <v>12</v>
      </c>
      <c r="AH141" s="51" t="s">
        <v>12</v>
      </c>
      <c r="AI141" s="51"/>
      <c r="AJ141" s="51"/>
    </row>
    <row r="142" spans="1:36">
      <c r="A142" s="117"/>
      <c r="B142" s="120"/>
      <c r="C142" s="21" t="s">
        <v>28</v>
      </c>
      <c r="D142" s="41">
        <f t="shared" si="9"/>
        <v>101389</v>
      </c>
      <c r="E142" s="92">
        <f>(résultats!E146-résultats!E161)/résultats!E162</f>
        <v>-10.12038743352146</v>
      </c>
      <c r="F142" s="92">
        <f>(résultats!F146-résultats!F161)/résultats!F162</f>
        <v>-9.0971410750876327</v>
      </c>
      <c r="G142" s="92">
        <f>(résultats!G146-résultats!G161)/résultats!G162</f>
        <v>-1.2344977438863871</v>
      </c>
      <c r="H142" s="92">
        <f>(résultats!H146-résultats!H161)/résultats!H162</f>
        <v>2.1014186549538052</v>
      </c>
      <c r="I142" s="92">
        <f>(résultats!I146-résultats!I161)/résultats!I162</f>
        <v>-2.0846243799589521</v>
      </c>
      <c r="J142" s="92">
        <f>(résultats!J146-résultats!J161)/résultats!J162</f>
        <v>1.1610037514861415</v>
      </c>
      <c r="K142" s="92">
        <f>(résultats!K146-résultats!K161)/résultats!K162</f>
        <v>-2.580431006929683</v>
      </c>
      <c r="L142" s="92">
        <f>(résultats!L146-résultats!L161)/résultats!L162</f>
        <v>-8.02847281772409</v>
      </c>
      <c r="M142" s="92">
        <f>(résultats!O146-résultats!O161)/résultats!O162</f>
        <v>-0.3539827151425371</v>
      </c>
      <c r="N142" s="92">
        <f>(résultats!P146-résultats!P161)/résultats!P162</f>
        <v>1.8114745965777785</v>
      </c>
      <c r="O142" s="92">
        <f>(résultats!Q146-résultats!Q161)/résultats!Q162</f>
        <v>-1.7716040375927813</v>
      </c>
      <c r="P142" s="92">
        <f>(résultats!R146-résultats!R161)/résultats!R162</f>
        <v>1.993777980184523</v>
      </c>
      <c r="Q142" s="92">
        <f>(résultats!S146-résultats!S161)/résultats!S162</f>
        <v>-2.6666319790553112</v>
      </c>
      <c r="R142" s="92">
        <f>(résultats!T146-résultats!T161)/résultats!T162</f>
        <v>-1.7665582455412345</v>
      </c>
      <c r="S142" s="92">
        <f>(résultats!U146-résultats!U161)/résultats!U162</f>
        <v>4.0767907785040789</v>
      </c>
      <c r="T142" s="92">
        <f>(résultats!V146-résultats!V161)/résultats!V162</f>
        <v>6.6788198134904153</v>
      </c>
      <c r="U142" s="92">
        <f>(résultats!W146-résultats!W161)/résultats!W162</f>
        <v>0.52046679929247475</v>
      </c>
      <c r="V142" s="92">
        <f>(résultats!X146-résultats!X161)/résultats!X162</f>
        <v>-9.8075557170629857</v>
      </c>
      <c r="W142" s="92">
        <f>(résultats!Y146-résultats!Y161)/résultats!Y162</f>
        <v>-10.397512661082498</v>
      </c>
      <c r="X142" s="92">
        <f>(résultats!Z146-résultats!Z161)/résultats!Z162</f>
        <v>0.13907834474322242</v>
      </c>
      <c r="Y142" s="92">
        <f>(résultats!AA146-résultats!AA161)/résultats!AA162</f>
        <v>1.1417075626203363</v>
      </c>
      <c r="Z142" s="92" t="s">
        <v>12</v>
      </c>
      <c r="AA142" s="92" t="s">
        <v>12</v>
      </c>
      <c r="AB142" s="92" t="s">
        <v>12</v>
      </c>
      <c r="AC142" s="37"/>
      <c r="AD142" s="37">
        <f t="shared" si="10"/>
        <v>4.5836752576420139</v>
      </c>
      <c r="AE142" s="37"/>
      <c r="AF142" s="37"/>
      <c r="AG142" s="37"/>
      <c r="AH142" s="37"/>
      <c r="AI142" s="37"/>
      <c r="AJ142" s="37"/>
    </row>
    <row r="143" spans="1:36">
      <c r="A143" s="117"/>
      <c r="B143" s="118">
        <v>11</v>
      </c>
      <c r="C143" s="2" t="s">
        <v>16</v>
      </c>
      <c r="D143" s="41">
        <f>D129+11111+139</f>
        <v>112639</v>
      </c>
      <c r="E143" s="85" t="s">
        <v>12</v>
      </c>
      <c r="F143" s="85" t="s">
        <v>12</v>
      </c>
      <c r="G143" s="85" t="s">
        <v>12</v>
      </c>
      <c r="H143" s="85" t="s">
        <v>12</v>
      </c>
      <c r="I143" s="85" t="s">
        <v>12</v>
      </c>
      <c r="J143" s="85" t="s">
        <v>12</v>
      </c>
      <c r="K143" s="85" t="s">
        <v>12</v>
      </c>
      <c r="L143" s="85" t="s">
        <v>12</v>
      </c>
      <c r="M143" s="85" t="s">
        <v>12</v>
      </c>
      <c r="N143" s="85" t="s">
        <v>12</v>
      </c>
      <c r="O143" s="85" t="s">
        <v>12</v>
      </c>
      <c r="P143" s="85" t="s">
        <v>12</v>
      </c>
      <c r="Q143" s="85" t="s">
        <v>12</v>
      </c>
      <c r="R143" s="85" t="s">
        <v>12</v>
      </c>
      <c r="S143" s="85" t="s">
        <v>12</v>
      </c>
      <c r="T143" s="85" t="s">
        <v>12</v>
      </c>
      <c r="U143" s="85" t="s">
        <v>12</v>
      </c>
      <c r="V143" s="85" t="s">
        <v>12</v>
      </c>
      <c r="W143" s="85" t="s">
        <v>12</v>
      </c>
      <c r="X143" s="85" t="s">
        <v>12</v>
      </c>
      <c r="Y143" s="85" t="s">
        <v>12</v>
      </c>
      <c r="Z143" s="85" t="s">
        <v>12</v>
      </c>
      <c r="AA143" s="85" t="s">
        <v>12</v>
      </c>
      <c r="AB143" s="85" t="s">
        <v>12</v>
      </c>
      <c r="AC143" s="51" t="s">
        <v>12</v>
      </c>
      <c r="AD143" s="51" t="s">
        <v>12</v>
      </c>
      <c r="AE143" s="51" t="s">
        <v>12</v>
      </c>
      <c r="AF143" s="51" t="s">
        <v>12</v>
      </c>
      <c r="AG143" s="51" t="s">
        <v>12</v>
      </c>
      <c r="AH143" s="51" t="s">
        <v>12</v>
      </c>
      <c r="AI143" s="51"/>
      <c r="AJ143" s="51"/>
    </row>
    <row r="144" spans="1:36">
      <c r="A144" s="117"/>
      <c r="B144" s="119"/>
      <c r="C144" s="1" t="s">
        <v>15</v>
      </c>
      <c r="D144" s="41">
        <f t="shared" ref="D144:D156" si="11">D130+11111+139</f>
        <v>112639</v>
      </c>
      <c r="E144" s="43" t="s">
        <v>12</v>
      </c>
      <c r="F144" s="43" t="s">
        <v>12</v>
      </c>
      <c r="G144" s="43" t="s">
        <v>12</v>
      </c>
      <c r="H144" s="43" t="s">
        <v>12</v>
      </c>
      <c r="I144" s="43" t="s">
        <v>12</v>
      </c>
      <c r="J144" s="43" t="s">
        <v>12</v>
      </c>
      <c r="K144" s="43" t="s">
        <v>12</v>
      </c>
      <c r="L144" s="43" t="s">
        <v>12</v>
      </c>
      <c r="M144" s="43" t="s">
        <v>12</v>
      </c>
      <c r="N144" s="43" t="s">
        <v>12</v>
      </c>
      <c r="O144" s="43" t="s">
        <v>12</v>
      </c>
      <c r="P144" s="43" t="s">
        <v>12</v>
      </c>
      <c r="Q144" s="43" t="s">
        <v>12</v>
      </c>
      <c r="R144" s="43" t="s">
        <v>12</v>
      </c>
      <c r="S144" s="43" t="s">
        <v>12</v>
      </c>
      <c r="T144" s="43" t="s">
        <v>12</v>
      </c>
      <c r="U144" s="43" t="s">
        <v>12</v>
      </c>
      <c r="V144" s="43" t="s">
        <v>12</v>
      </c>
      <c r="W144" s="43" t="s">
        <v>12</v>
      </c>
      <c r="X144" s="43" t="s">
        <v>12</v>
      </c>
      <c r="Y144" s="43" t="s">
        <v>12</v>
      </c>
      <c r="Z144" s="43" t="s">
        <v>12</v>
      </c>
      <c r="AA144" s="43" t="s">
        <v>12</v>
      </c>
      <c r="AB144" s="43" t="s">
        <v>12</v>
      </c>
      <c r="AC144" s="51" t="s">
        <v>12</v>
      </c>
      <c r="AD144" s="51" t="s">
        <v>12</v>
      </c>
      <c r="AE144" s="51" t="s">
        <v>12</v>
      </c>
      <c r="AF144" s="51" t="s">
        <v>12</v>
      </c>
      <c r="AG144" s="51" t="s">
        <v>12</v>
      </c>
      <c r="AH144" s="51" t="s">
        <v>12</v>
      </c>
      <c r="AI144" s="51"/>
      <c r="AJ144" s="51"/>
    </row>
    <row r="145" spans="1:36">
      <c r="A145" s="117"/>
      <c r="B145" s="119"/>
      <c r="C145" s="5" t="s">
        <v>14</v>
      </c>
      <c r="D145" s="41">
        <f t="shared" si="11"/>
        <v>112639</v>
      </c>
      <c r="E145" s="44">
        <f>(résultats!E149-résultats!E161)/résultats!E162</f>
        <v>-0.1034301103227928</v>
      </c>
      <c r="F145" s="44">
        <f>(résultats!F149-résultats!F161)/résultats!F162</f>
        <v>0.16083834786885667</v>
      </c>
      <c r="G145" s="44">
        <f>(résultats!G149-résultats!G161)/résultats!G162</f>
        <v>1.2874325904493447</v>
      </c>
      <c r="H145" s="44">
        <f>(résultats!H149-résultats!H161)/résultats!H162</f>
        <v>1.1292132316833703</v>
      </c>
      <c r="I145" s="44">
        <f>(résultats!I149-résultats!I161)/résultats!I162</f>
        <v>1.2287189535041796</v>
      </c>
      <c r="J145" s="44">
        <f>(résultats!J149-résultats!J161)/résultats!J162</f>
        <v>1.0558222154826897</v>
      </c>
      <c r="K145" s="44">
        <f>(résultats!K149-résultats!K161)/résultats!K162</f>
        <v>-0.81420046932065082</v>
      </c>
      <c r="L145" s="44">
        <f>(résultats!L149-résultats!L161)/résultats!L162</f>
        <v>-0.44811138227445135</v>
      </c>
      <c r="M145" s="44">
        <f>(résultats!O149-résultats!O161)/résultats!O162</f>
        <v>1.2847636281481176</v>
      </c>
      <c r="N145" s="44">
        <f>(résultats!P149-résultats!P161)/résultats!P162</f>
        <v>1.1426089339541956</v>
      </c>
      <c r="O145" s="44">
        <f>(résultats!Q149-résultats!Q161)/résultats!Q162</f>
        <v>1.2312520987689184</v>
      </c>
      <c r="P145" s="44">
        <f>(résultats!R149-résultats!R161)/résultats!R162</f>
        <v>1.0337607015385859</v>
      </c>
      <c r="Q145" s="44">
        <f>(résultats!S149-résultats!S161)/résultats!S162</f>
        <v>-0.95671571963565338</v>
      </c>
      <c r="R145" s="44">
        <f>(résultats!T149-résultats!T161)/résultats!T162</f>
        <v>-1.7302857955649091</v>
      </c>
      <c r="S145" s="44">
        <f>(résultats!U149-résultats!U161)/résultats!U162</f>
        <v>0.47612155077419677</v>
      </c>
      <c r="T145" s="44">
        <f>(résultats!V149-résultats!V161)/résultats!V162</f>
        <v>0.28454631393897517</v>
      </c>
      <c r="U145" s="44">
        <f>(résultats!W149-résultats!W161)/résultats!W162</f>
        <v>-0.11412530764462431</v>
      </c>
      <c r="V145" s="44">
        <f>(résultats!X149-résultats!X161)/résultats!X162</f>
        <v>0.68061252703279629</v>
      </c>
      <c r="W145" s="44">
        <f>(résultats!Y149-résultats!Y161)/résultats!Y162</f>
        <v>0.55263043590723349</v>
      </c>
      <c r="X145" s="44">
        <f>(résultats!Z149-résultats!Z161)/résultats!Z162</f>
        <v>0.31542335500830426</v>
      </c>
      <c r="Y145" s="44">
        <f>(résultats!AA149-résultats!AA161)/résultats!AA162</f>
        <v>0.92703678418142466</v>
      </c>
      <c r="Z145" s="44">
        <f>(résultats!AB149-résultats!AB161)/résultats!AB162</f>
        <v>0.3089243018236919</v>
      </c>
      <c r="AA145" s="44">
        <f>(résultats!AC149-résultats!AC161)/résultats!AC162</f>
        <v>-0.15803490226521352</v>
      </c>
      <c r="AB145" s="44">
        <f>(résultats!AD149-résultats!AD161)/résultats!AD162</f>
        <v>0.6884625811919034</v>
      </c>
      <c r="AC145" s="27"/>
      <c r="AD145" s="27">
        <f t="shared" si="10"/>
        <v>3.1950334316235014</v>
      </c>
      <c r="AE145" s="27"/>
      <c r="AF145" s="27"/>
      <c r="AG145" s="27"/>
      <c r="AH145" s="27"/>
      <c r="AI145" s="27"/>
      <c r="AJ145" s="27"/>
    </row>
    <row r="146" spans="1:36">
      <c r="A146" s="117"/>
      <c r="B146" s="119"/>
      <c r="C146" s="12" t="s">
        <v>11</v>
      </c>
      <c r="D146" s="41">
        <f t="shared" si="11"/>
        <v>112639</v>
      </c>
      <c r="E146" s="45">
        <f>(résultats!E150-résultats!E161)/résultats!E162</f>
        <v>2.6009084659381152</v>
      </c>
      <c r="F146" s="45">
        <f>(résultats!F150-résultats!F161)/résultats!F162</f>
        <v>3.1696532162489017</v>
      </c>
      <c r="G146" s="45">
        <f>(résultats!G150-résultats!G161)/résultats!G162</f>
        <v>1.3262315186698941</v>
      </c>
      <c r="H146" s="45">
        <f>(résultats!H150-résultats!H161)/résultats!H162</f>
        <v>1.7832111151437078</v>
      </c>
      <c r="I146" s="45">
        <f>(résultats!I150-résultats!I161)/résultats!I162</f>
        <v>1.671157861682584</v>
      </c>
      <c r="J146" s="45">
        <f>(résultats!J150-résultats!J161)/résultats!J162</f>
        <v>2.3091271506685476</v>
      </c>
      <c r="K146" s="45">
        <f>(résultats!K150-résultats!K161)/résultats!K162</f>
        <v>-3.8671329381957449</v>
      </c>
      <c r="L146" s="45">
        <f>(résultats!L150-résultats!L161)/résultats!L162</f>
        <v>-3.7583953359023319</v>
      </c>
      <c r="M146" s="45">
        <f>(résultats!O150-résultats!O161)/résultats!O162</f>
        <v>-0.35602534514550532</v>
      </c>
      <c r="N146" s="45">
        <f>(résultats!P150-résultats!P161)/résultats!P162</f>
        <v>-0.1596336671522248</v>
      </c>
      <c r="O146" s="45">
        <f>(résultats!Q150-résultats!Q161)/résultats!Q162</f>
        <v>1.8586200591830859</v>
      </c>
      <c r="P146" s="45">
        <f>(résultats!R150-résultats!R161)/résultats!R162</f>
        <v>2.4689657663622508</v>
      </c>
      <c r="Q146" s="45">
        <f>(résultats!S150-résultats!S161)/résultats!S162</f>
        <v>2.3010243656899014</v>
      </c>
      <c r="R146" s="45">
        <f>(résultats!T150-résultats!T161)/résultats!T162</f>
        <v>2.0465830582200621</v>
      </c>
      <c r="S146" s="45">
        <f>(résultats!U150-résultats!U161)/résultats!U162</f>
        <v>6.5745523148572405</v>
      </c>
      <c r="T146" s="45">
        <f>(résultats!V150-résultats!V161)/résultats!V162</f>
        <v>5.3383992870762187</v>
      </c>
      <c r="U146" s="45">
        <f>(résultats!W150-résultats!W161)/résultats!W162</f>
        <v>0.27529430486441292</v>
      </c>
      <c r="V146" s="45">
        <f>(résultats!X150-résultats!X161)/résultats!X162</f>
        <v>9.0218950378398222E-2</v>
      </c>
      <c r="W146" s="45">
        <f>(résultats!Y150-résultats!Y161)/résultats!Y162</f>
        <v>0.14403197891429673</v>
      </c>
      <c r="X146" s="45">
        <f>(résultats!Z150-résultats!Z161)/résultats!Z162</f>
        <v>0.14971362111947917</v>
      </c>
      <c r="Y146" s="45">
        <f>(résultats!AA150-résultats!AA161)/résultats!AA162</f>
        <v>4.0182959937017584</v>
      </c>
      <c r="Z146" s="45" t="s">
        <v>12</v>
      </c>
      <c r="AA146" s="45" t="s">
        <v>12</v>
      </c>
      <c r="AB146" s="45" t="s">
        <v>12</v>
      </c>
      <c r="AC146" s="28"/>
      <c r="AD146" s="28">
        <f t="shared" si="10"/>
        <v>0.25690097879656837</v>
      </c>
      <c r="AE146" s="28"/>
      <c r="AF146" s="28"/>
      <c r="AG146" s="28"/>
      <c r="AH146" s="28"/>
      <c r="AI146" s="28"/>
      <c r="AJ146" s="28"/>
    </row>
    <row r="147" spans="1:36">
      <c r="A147" s="117"/>
      <c r="B147" s="119"/>
      <c r="C147" s="3" t="s">
        <v>8</v>
      </c>
      <c r="D147" s="41">
        <f t="shared" si="11"/>
        <v>112639</v>
      </c>
      <c r="E147" s="88" t="s">
        <v>12</v>
      </c>
      <c r="F147" s="88" t="s">
        <v>12</v>
      </c>
      <c r="G147" s="88" t="s">
        <v>12</v>
      </c>
      <c r="H147" s="88" t="s">
        <v>12</v>
      </c>
      <c r="I147" s="88" t="s">
        <v>12</v>
      </c>
      <c r="J147" s="88" t="s">
        <v>12</v>
      </c>
      <c r="K147" s="88" t="s">
        <v>12</v>
      </c>
      <c r="L147" s="88" t="s">
        <v>12</v>
      </c>
      <c r="M147" s="88" t="s">
        <v>12</v>
      </c>
      <c r="N147" s="88" t="s">
        <v>12</v>
      </c>
      <c r="O147" s="88" t="s">
        <v>12</v>
      </c>
      <c r="P147" s="88" t="s">
        <v>12</v>
      </c>
      <c r="Q147" s="88" t="s">
        <v>12</v>
      </c>
      <c r="R147" s="88" t="s">
        <v>12</v>
      </c>
      <c r="S147" s="88" t="s">
        <v>12</v>
      </c>
      <c r="T147" s="88" t="s">
        <v>12</v>
      </c>
      <c r="U147" s="88" t="s">
        <v>12</v>
      </c>
      <c r="V147" s="88" t="s">
        <v>12</v>
      </c>
      <c r="W147" s="88" t="s">
        <v>12</v>
      </c>
      <c r="X147" s="88" t="s">
        <v>12</v>
      </c>
      <c r="Y147" s="88" t="s">
        <v>12</v>
      </c>
      <c r="Z147" s="88" t="s">
        <v>12</v>
      </c>
      <c r="AA147" s="88" t="s">
        <v>12</v>
      </c>
      <c r="AB147" s="88" t="s">
        <v>12</v>
      </c>
      <c r="AC147" s="51" t="s">
        <v>12</v>
      </c>
      <c r="AD147" s="51" t="s">
        <v>12</v>
      </c>
      <c r="AE147" s="51" t="s">
        <v>12</v>
      </c>
      <c r="AF147" s="51" t="s">
        <v>12</v>
      </c>
      <c r="AG147" s="51" t="s">
        <v>12</v>
      </c>
      <c r="AH147" s="51" t="s">
        <v>12</v>
      </c>
      <c r="AI147" s="51"/>
      <c r="AJ147" s="51"/>
    </row>
    <row r="148" spans="1:36">
      <c r="A148" s="117"/>
      <c r="B148" s="119"/>
      <c r="C148" s="9" t="s">
        <v>7</v>
      </c>
      <c r="D148" s="41">
        <f t="shared" si="11"/>
        <v>112639</v>
      </c>
      <c r="E148" s="46" t="s">
        <v>12</v>
      </c>
      <c r="F148" s="46" t="s">
        <v>12</v>
      </c>
      <c r="G148" s="46" t="s">
        <v>12</v>
      </c>
      <c r="H148" s="46" t="s">
        <v>12</v>
      </c>
      <c r="I148" s="46" t="s">
        <v>12</v>
      </c>
      <c r="J148" s="46" t="s">
        <v>12</v>
      </c>
      <c r="K148" s="46" t="s">
        <v>12</v>
      </c>
      <c r="L148" s="46" t="s">
        <v>12</v>
      </c>
      <c r="M148" s="46" t="s">
        <v>12</v>
      </c>
      <c r="N148" s="46" t="s">
        <v>12</v>
      </c>
      <c r="O148" s="46" t="s">
        <v>12</v>
      </c>
      <c r="P148" s="46" t="s">
        <v>12</v>
      </c>
      <c r="Q148" s="46" t="s">
        <v>12</v>
      </c>
      <c r="R148" s="46" t="s">
        <v>12</v>
      </c>
      <c r="S148" s="46" t="s">
        <v>12</v>
      </c>
      <c r="T148" s="46" t="s">
        <v>12</v>
      </c>
      <c r="U148" s="46" t="s">
        <v>12</v>
      </c>
      <c r="V148" s="46" t="s">
        <v>12</v>
      </c>
      <c r="W148" s="46" t="s">
        <v>12</v>
      </c>
      <c r="X148" s="46" t="s">
        <v>12</v>
      </c>
      <c r="Y148" s="46" t="s">
        <v>12</v>
      </c>
      <c r="Z148" s="46" t="s">
        <v>12</v>
      </c>
      <c r="AA148" s="46" t="s">
        <v>12</v>
      </c>
      <c r="AB148" s="46" t="s">
        <v>12</v>
      </c>
      <c r="AC148" s="51" t="s">
        <v>12</v>
      </c>
      <c r="AD148" s="51" t="s">
        <v>12</v>
      </c>
      <c r="AE148" s="51" t="s">
        <v>12</v>
      </c>
      <c r="AF148" s="51" t="s">
        <v>12</v>
      </c>
      <c r="AG148" s="51" t="s">
        <v>12</v>
      </c>
      <c r="AH148" s="51" t="s">
        <v>12</v>
      </c>
      <c r="AI148" s="51"/>
      <c r="AJ148" s="51"/>
    </row>
    <row r="149" spans="1:36">
      <c r="A149" s="117"/>
      <c r="B149" s="119"/>
      <c r="C149" s="7" t="s">
        <v>18</v>
      </c>
      <c r="D149" s="41">
        <f t="shared" si="11"/>
        <v>112639</v>
      </c>
      <c r="E149" s="47" t="s">
        <v>12</v>
      </c>
      <c r="F149" s="47" t="s">
        <v>12</v>
      </c>
      <c r="G149" s="47" t="s">
        <v>12</v>
      </c>
      <c r="H149" s="47" t="s">
        <v>12</v>
      </c>
      <c r="I149" s="47" t="s">
        <v>12</v>
      </c>
      <c r="J149" s="47" t="s">
        <v>12</v>
      </c>
      <c r="K149" s="47" t="s">
        <v>12</v>
      </c>
      <c r="L149" s="47" t="s">
        <v>12</v>
      </c>
      <c r="M149" s="47" t="s">
        <v>12</v>
      </c>
      <c r="N149" s="47" t="s">
        <v>12</v>
      </c>
      <c r="O149" s="47" t="s">
        <v>12</v>
      </c>
      <c r="P149" s="47" t="s">
        <v>12</v>
      </c>
      <c r="Q149" s="47" t="s">
        <v>12</v>
      </c>
      <c r="R149" s="47" t="s">
        <v>12</v>
      </c>
      <c r="S149" s="47" t="s">
        <v>12</v>
      </c>
      <c r="T149" s="47" t="s">
        <v>12</v>
      </c>
      <c r="U149" s="47" t="s">
        <v>12</v>
      </c>
      <c r="V149" s="47" t="s">
        <v>12</v>
      </c>
      <c r="W149" s="47" t="s">
        <v>12</v>
      </c>
      <c r="X149" s="47" t="s">
        <v>12</v>
      </c>
      <c r="Y149" s="47" t="s">
        <v>12</v>
      </c>
      <c r="Z149" s="47" t="s">
        <v>12</v>
      </c>
      <c r="AA149" s="47" t="s">
        <v>12</v>
      </c>
      <c r="AB149" s="47" t="s">
        <v>12</v>
      </c>
      <c r="AC149" s="51" t="s">
        <v>12</v>
      </c>
      <c r="AD149" s="51" t="s">
        <v>12</v>
      </c>
      <c r="AE149" s="51" t="s">
        <v>12</v>
      </c>
      <c r="AF149" s="51" t="s">
        <v>12</v>
      </c>
      <c r="AG149" s="51" t="s">
        <v>12</v>
      </c>
      <c r="AH149" s="51" t="s">
        <v>12</v>
      </c>
      <c r="AI149" s="51"/>
      <c r="AJ149" s="51"/>
    </row>
    <row r="150" spans="1:36">
      <c r="A150" s="117"/>
      <c r="B150" s="119"/>
      <c r="C150" s="6" t="s">
        <v>19</v>
      </c>
      <c r="D150" s="41">
        <f t="shared" si="11"/>
        <v>112639</v>
      </c>
      <c r="E150" s="89" t="s">
        <v>12</v>
      </c>
      <c r="F150" s="89" t="s">
        <v>12</v>
      </c>
      <c r="G150" s="89" t="s">
        <v>12</v>
      </c>
      <c r="H150" s="89" t="s">
        <v>12</v>
      </c>
      <c r="I150" s="89" t="s">
        <v>12</v>
      </c>
      <c r="J150" s="89" t="s">
        <v>12</v>
      </c>
      <c r="K150" s="89" t="s">
        <v>12</v>
      </c>
      <c r="L150" s="89" t="s">
        <v>12</v>
      </c>
      <c r="M150" s="89" t="s">
        <v>12</v>
      </c>
      <c r="N150" s="89" t="s">
        <v>12</v>
      </c>
      <c r="O150" s="89" t="s">
        <v>12</v>
      </c>
      <c r="P150" s="89" t="s">
        <v>12</v>
      </c>
      <c r="Q150" s="89" t="s">
        <v>12</v>
      </c>
      <c r="R150" s="89" t="s">
        <v>12</v>
      </c>
      <c r="S150" s="89" t="s">
        <v>12</v>
      </c>
      <c r="T150" s="89" t="s">
        <v>12</v>
      </c>
      <c r="U150" s="89" t="s">
        <v>12</v>
      </c>
      <c r="V150" s="89" t="s">
        <v>12</v>
      </c>
      <c r="W150" s="89" t="s">
        <v>12</v>
      </c>
      <c r="X150" s="89" t="s">
        <v>12</v>
      </c>
      <c r="Y150" s="89" t="s">
        <v>12</v>
      </c>
      <c r="Z150" s="89" t="s">
        <v>12</v>
      </c>
      <c r="AA150" s="89" t="s">
        <v>12</v>
      </c>
      <c r="AB150" s="89" t="s">
        <v>12</v>
      </c>
      <c r="AC150" s="51" t="s">
        <v>12</v>
      </c>
      <c r="AD150" s="51" t="s">
        <v>12</v>
      </c>
      <c r="AE150" s="51" t="s">
        <v>12</v>
      </c>
      <c r="AF150" s="51" t="s">
        <v>12</v>
      </c>
      <c r="AG150" s="51" t="s">
        <v>12</v>
      </c>
      <c r="AH150" s="51" t="s">
        <v>12</v>
      </c>
      <c r="AI150" s="51"/>
      <c r="AJ150" s="51"/>
    </row>
    <row r="151" spans="1:36">
      <c r="A151" s="117"/>
      <c r="B151" s="119"/>
      <c r="C151" s="4" t="s">
        <v>23</v>
      </c>
      <c r="D151" s="41">
        <f t="shared" si="11"/>
        <v>112639</v>
      </c>
      <c r="E151" s="48" t="s">
        <v>12</v>
      </c>
      <c r="F151" s="48" t="s">
        <v>12</v>
      </c>
      <c r="G151" s="48" t="s">
        <v>12</v>
      </c>
      <c r="H151" s="48" t="s">
        <v>12</v>
      </c>
      <c r="I151" s="48" t="s">
        <v>12</v>
      </c>
      <c r="J151" s="48" t="s">
        <v>12</v>
      </c>
      <c r="K151" s="48" t="s">
        <v>12</v>
      </c>
      <c r="L151" s="48" t="s">
        <v>12</v>
      </c>
      <c r="M151" s="48" t="s">
        <v>12</v>
      </c>
      <c r="N151" s="48" t="s">
        <v>12</v>
      </c>
      <c r="O151" s="48" t="s">
        <v>12</v>
      </c>
      <c r="P151" s="48" t="s">
        <v>12</v>
      </c>
      <c r="Q151" s="48" t="s">
        <v>12</v>
      </c>
      <c r="R151" s="48" t="s">
        <v>12</v>
      </c>
      <c r="S151" s="48" t="s">
        <v>12</v>
      </c>
      <c r="T151" s="48" t="s">
        <v>12</v>
      </c>
      <c r="U151" s="48" t="s">
        <v>12</v>
      </c>
      <c r="V151" s="48" t="s">
        <v>12</v>
      </c>
      <c r="W151" s="48" t="s">
        <v>12</v>
      </c>
      <c r="X151" s="48" t="s">
        <v>12</v>
      </c>
      <c r="Y151" s="48" t="s">
        <v>12</v>
      </c>
      <c r="Z151" s="48" t="s">
        <v>12</v>
      </c>
      <c r="AA151" s="48" t="s">
        <v>12</v>
      </c>
      <c r="AB151" s="48" t="s">
        <v>12</v>
      </c>
      <c r="AC151" s="51" t="s">
        <v>12</v>
      </c>
      <c r="AD151" s="51" t="s">
        <v>12</v>
      </c>
      <c r="AE151" s="51" t="s">
        <v>12</v>
      </c>
      <c r="AF151" s="51" t="s">
        <v>12</v>
      </c>
      <c r="AG151" s="51" t="s">
        <v>12</v>
      </c>
      <c r="AH151" s="51" t="s">
        <v>12</v>
      </c>
      <c r="AI151" s="51"/>
      <c r="AJ151" s="51"/>
    </row>
    <row r="152" spans="1:36">
      <c r="A152" s="117"/>
      <c r="B152" s="119"/>
      <c r="C152" s="10" t="s">
        <v>24</v>
      </c>
      <c r="D152" s="41">
        <f t="shared" si="11"/>
        <v>112639</v>
      </c>
      <c r="E152" s="90" t="s">
        <v>12</v>
      </c>
      <c r="F152" s="90" t="s">
        <v>12</v>
      </c>
      <c r="G152" s="90" t="s">
        <v>12</v>
      </c>
      <c r="H152" s="90" t="s">
        <v>12</v>
      </c>
      <c r="I152" s="90" t="s">
        <v>12</v>
      </c>
      <c r="J152" s="90" t="s">
        <v>12</v>
      </c>
      <c r="K152" s="90" t="s">
        <v>12</v>
      </c>
      <c r="L152" s="90" t="s">
        <v>12</v>
      </c>
      <c r="M152" s="90" t="s">
        <v>12</v>
      </c>
      <c r="N152" s="90" t="s">
        <v>12</v>
      </c>
      <c r="O152" s="90" t="s">
        <v>12</v>
      </c>
      <c r="P152" s="90" t="s">
        <v>12</v>
      </c>
      <c r="Q152" s="90" t="s">
        <v>12</v>
      </c>
      <c r="R152" s="90" t="s">
        <v>12</v>
      </c>
      <c r="S152" s="90" t="s">
        <v>12</v>
      </c>
      <c r="T152" s="90" t="s">
        <v>12</v>
      </c>
      <c r="U152" s="90" t="s">
        <v>12</v>
      </c>
      <c r="V152" s="90" t="s">
        <v>12</v>
      </c>
      <c r="W152" s="90" t="s">
        <v>12</v>
      </c>
      <c r="X152" s="90" t="s">
        <v>12</v>
      </c>
      <c r="Y152" s="90" t="s">
        <v>12</v>
      </c>
      <c r="Z152" s="90" t="s">
        <v>12</v>
      </c>
      <c r="AA152" s="90" t="s">
        <v>12</v>
      </c>
      <c r="AB152" s="90" t="s">
        <v>12</v>
      </c>
      <c r="AC152" s="51" t="s">
        <v>12</v>
      </c>
      <c r="AD152" s="51" t="s">
        <v>12</v>
      </c>
      <c r="AE152" s="51" t="s">
        <v>12</v>
      </c>
      <c r="AF152" s="51" t="s">
        <v>12</v>
      </c>
      <c r="AG152" s="51" t="s">
        <v>12</v>
      </c>
      <c r="AH152" s="51" t="s">
        <v>12</v>
      </c>
      <c r="AI152" s="51"/>
      <c r="AJ152" s="51"/>
    </row>
    <row r="153" spans="1:36">
      <c r="A153" s="117"/>
      <c r="B153" s="119"/>
      <c r="C153" s="11" t="s">
        <v>25</v>
      </c>
      <c r="D153" s="41">
        <f t="shared" si="11"/>
        <v>112639</v>
      </c>
      <c r="E153" s="49" t="s">
        <v>12</v>
      </c>
      <c r="F153" s="49" t="s">
        <v>12</v>
      </c>
      <c r="G153" s="49" t="s">
        <v>12</v>
      </c>
      <c r="H153" s="49" t="s">
        <v>12</v>
      </c>
      <c r="I153" s="49" t="s">
        <v>12</v>
      </c>
      <c r="J153" s="49" t="s">
        <v>12</v>
      </c>
      <c r="K153" s="49" t="s">
        <v>12</v>
      </c>
      <c r="L153" s="49" t="s">
        <v>12</v>
      </c>
      <c r="M153" s="49" t="s">
        <v>12</v>
      </c>
      <c r="N153" s="49" t="s">
        <v>12</v>
      </c>
      <c r="O153" s="49" t="s">
        <v>12</v>
      </c>
      <c r="P153" s="49" t="s">
        <v>12</v>
      </c>
      <c r="Q153" s="49" t="s">
        <v>12</v>
      </c>
      <c r="R153" s="49" t="s">
        <v>12</v>
      </c>
      <c r="S153" s="49" t="s">
        <v>12</v>
      </c>
      <c r="T153" s="49" t="s">
        <v>12</v>
      </c>
      <c r="U153" s="49" t="s">
        <v>12</v>
      </c>
      <c r="V153" s="49" t="s">
        <v>12</v>
      </c>
      <c r="W153" s="49" t="s">
        <v>12</v>
      </c>
      <c r="X153" s="49" t="s">
        <v>12</v>
      </c>
      <c r="Y153" s="49" t="s">
        <v>12</v>
      </c>
      <c r="Z153" s="49" t="s">
        <v>12</v>
      </c>
      <c r="AA153" s="49" t="s">
        <v>12</v>
      </c>
      <c r="AB153" s="49" t="s">
        <v>12</v>
      </c>
      <c r="AC153" s="51" t="s">
        <v>12</v>
      </c>
      <c r="AD153" s="51" t="s">
        <v>12</v>
      </c>
      <c r="AE153" s="51" t="s">
        <v>12</v>
      </c>
      <c r="AF153" s="51" t="s">
        <v>12</v>
      </c>
      <c r="AG153" s="51" t="s">
        <v>12</v>
      </c>
      <c r="AH153" s="51" t="s">
        <v>12</v>
      </c>
      <c r="AI153" s="51"/>
      <c r="AJ153" s="51"/>
    </row>
    <row r="154" spans="1:36">
      <c r="A154" s="117"/>
      <c r="B154" s="119"/>
      <c r="C154" s="8" t="s">
        <v>26</v>
      </c>
      <c r="D154" s="41">
        <f t="shared" si="11"/>
        <v>112639</v>
      </c>
      <c r="E154" s="91" t="s">
        <v>12</v>
      </c>
      <c r="F154" s="91" t="s">
        <v>12</v>
      </c>
      <c r="G154" s="91" t="s">
        <v>12</v>
      </c>
      <c r="H154" s="91" t="s">
        <v>12</v>
      </c>
      <c r="I154" s="91" t="s">
        <v>12</v>
      </c>
      <c r="J154" s="91" t="s">
        <v>12</v>
      </c>
      <c r="K154" s="91" t="s">
        <v>12</v>
      </c>
      <c r="L154" s="91" t="s">
        <v>12</v>
      </c>
      <c r="M154" s="91" t="s">
        <v>12</v>
      </c>
      <c r="N154" s="91" t="s">
        <v>12</v>
      </c>
      <c r="O154" s="91" t="s">
        <v>12</v>
      </c>
      <c r="P154" s="91" t="s">
        <v>12</v>
      </c>
      <c r="Q154" s="91" t="s">
        <v>12</v>
      </c>
      <c r="R154" s="91" t="s">
        <v>12</v>
      </c>
      <c r="S154" s="91" t="s">
        <v>12</v>
      </c>
      <c r="T154" s="91" t="s">
        <v>12</v>
      </c>
      <c r="U154" s="91" t="s">
        <v>12</v>
      </c>
      <c r="V154" s="91" t="s">
        <v>12</v>
      </c>
      <c r="W154" s="91" t="s">
        <v>12</v>
      </c>
      <c r="X154" s="91" t="s">
        <v>12</v>
      </c>
      <c r="Y154" s="91" t="s">
        <v>12</v>
      </c>
      <c r="Z154" s="91" t="s">
        <v>12</v>
      </c>
      <c r="AA154" s="91" t="s">
        <v>12</v>
      </c>
      <c r="AB154" s="91" t="s">
        <v>12</v>
      </c>
      <c r="AC154" s="51" t="s">
        <v>12</v>
      </c>
      <c r="AD154" s="51" t="s">
        <v>12</v>
      </c>
      <c r="AE154" s="51" t="s">
        <v>12</v>
      </c>
      <c r="AF154" s="51" t="s">
        <v>12</v>
      </c>
      <c r="AG154" s="51" t="s">
        <v>12</v>
      </c>
      <c r="AH154" s="51" t="s">
        <v>12</v>
      </c>
      <c r="AI154" s="51"/>
      <c r="AJ154" s="51"/>
    </row>
    <row r="155" spans="1:36">
      <c r="A155" s="117"/>
      <c r="B155" s="119"/>
      <c r="C155" s="19" t="s">
        <v>27</v>
      </c>
      <c r="D155" s="41">
        <f t="shared" si="11"/>
        <v>112639</v>
      </c>
      <c r="E155" s="50" t="s">
        <v>12</v>
      </c>
      <c r="F155" s="50" t="s">
        <v>12</v>
      </c>
      <c r="G155" s="50" t="s">
        <v>12</v>
      </c>
      <c r="H155" s="50" t="s">
        <v>12</v>
      </c>
      <c r="I155" s="50" t="s">
        <v>12</v>
      </c>
      <c r="J155" s="50" t="s">
        <v>12</v>
      </c>
      <c r="K155" s="50" t="s">
        <v>12</v>
      </c>
      <c r="L155" s="50" t="s">
        <v>12</v>
      </c>
      <c r="M155" s="50" t="s">
        <v>12</v>
      </c>
      <c r="N155" s="50" t="s">
        <v>12</v>
      </c>
      <c r="O155" s="50" t="s">
        <v>12</v>
      </c>
      <c r="P155" s="50" t="s">
        <v>12</v>
      </c>
      <c r="Q155" s="50" t="s">
        <v>12</v>
      </c>
      <c r="R155" s="50" t="s">
        <v>12</v>
      </c>
      <c r="S155" s="50" t="s">
        <v>12</v>
      </c>
      <c r="T155" s="50" t="s">
        <v>12</v>
      </c>
      <c r="U155" s="50" t="s">
        <v>12</v>
      </c>
      <c r="V155" s="50" t="s">
        <v>12</v>
      </c>
      <c r="W155" s="50" t="s">
        <v>12</v>
      </c>
      <c r="X155" s="50" t="s">
        <v>12</v>
      </c>
      <c r="Y155" s="50" t="s">
        <v>12</v>
      </c>
      <c r="Z155" s="50" t="s">
        <v>12</v>
      </c>
      <c r="AA155" s="50" t="s">
        <v>12</v>
      </c>
      <c r="AB155" s="50" t="s">
        <v>12</v>
      </c>
      <c r="AC155" s="51" t="s">
        <v>12</v>
      </c>
      <c r="AD155" s="51" t="s">
        <v>12</v>
      </c>
      <c r="AE155" s="51" t="s">
        <v>12</v>
      </c>
      <c r="AF155" s="51" t="s">
        <v>12</v>
      </c>
      <c r="AG155" s="51" t="s">
        <v>12</v>
      </c>
      <c r="AH155" s="51" t="s">
        <v>12</v>
      </c>
      <c r="AI155" s="51"/>
      <c r="AJ155" s="51"/>
    </row>
    <row r="156" spans="1:36">
      <c r="A156" s="117"/>
      <c r="B156" s="120"/>
      <c r="C156" s="21" t="s">
        <v>28</v>
      </c>
      <c r="D156" s="95">
        <f t="shared" si="11"/>
        <v>112639</v>
      </c>
      <c r="E156" s="92" t="s">
        <v>12</v>
      </c>
      <c r="F156" s="92" t="s">
        <v>12</v>
      </c>
      <c r="G156" s="92" t="s">
        <v>12</v>
      </c>
      <c r="H156" s="92" t="s">
        <v>12</v>
      </c>
      <c r="I156" s="92" t="s">
        <v>12</v>
      </c>
      <c r="J156" s="92" t="s">
        <v>12</v>
      </c>
      <c r="K156" s="92" t="s">
        <v>12</v>
      </c>
      <c r="L156" s="92" t="s">
        <v>12</v>
      </c>
      <c r="M156" s="92" t="s">
        <v>12</v>
      </c>
      <c r="N156" s="92" t="s">
        <v>12</v>
      </c>
      <c r="O156" s="92" t="s">
        <v>12</v>
      </c>
      <c r="P156" s="92" t="s">
        <v>12</v>
      </c>
      <c r="Q156" s="92" t="s">
        <v>12</v>
      </c>
      <c r="R156" s="92" t="s">
        <v>12</v>
      </c>
      <c r="S156" s="92" t="s">
        <v>12</v>
      </c>
      <c r="T156" s="92" t="s">
        <v>12</v>
      </c>
      <c r="U156" s="92" t="s">
        <v>12</v>
      </c>
      <c r="V156" s="92" t="s">
        <v>12</v>
      </c>
      <c r="W156" s="92" t="s">
        <v>12</v>
      </c>
      <c r="X156" s="92" t="s">
        <v>12</v>
      </c>
      <c r="Y156" s="92" t="s">
        <v>12</v>
      </c>
      <c r="Z156" s="92" t="s">
        <v>12</v>
      </c>
      <c r="AA156" s="92" t="s">
        <v>12</v>
      </c>
      <c r="AB156" s="92" t="s">
        <v>12</v>
      </c>
      <c r="AC156" s="51" t="s">
        <v>12</v>
      </c>
      <c r="AD156" s="51" t="s">
        <v>12</v>
      </c>
      <c r="AE156" s="51" t="s">
        <v>12</v>
      </c>
      <c r="AF156" s="51" t="s">
        <v>12</v>
      </c>
      <c r="AG156" s="51" t="s">
        <v>12</v>
      </c>
      <c r="AH156" s="51" t="s">
        <v>12</v>
      </c>
      <c r="AI156" s="51"/>
      <c r="AJ156" s="51"/>
    </row>
    <row r="157" spans="1:36">
      <c r="AE157" s="54"/>
    </row>
  </sheetData>
  <mergeCells count="12">
    <mergeCell ref="B129:B142"/>
    <mergeCell ref="B143:B156"/>
    <mergeCell ref="A3:A156"/>
    <mergeCell ref="B3:B16"/>
    <mergeCell ref="B17:B30"/>
    <mergeCell ref="B31:B44"/>
    <mergeCell ref="B45:B58"/>
    <mergeCell ref="B59:B72"/>
    <mergeCell ref="B73:B86"/>
    <mergeCell ref="B87:B100"/>
    <mergeCell ref="B101:B114"/>
    <mergeCell ref="B115:B1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57"/>
  <sheetViews>
    <sheetView topLeftCell="A2" workbookViewId="0">
      <pane ySplit="1" topLeftCell="A3" activePane="bottomLeft" state="frozen"/>
      <selection activeCell="A2" sqref="A2"/>
      <selection pane="bottomLeft" activeCell="P22" sqref="P22"/>
    </sheetView>
  </sheetViews>
  <sheetFormatPr baseColWidth="10" defaultRowHeight="15"/>
  <cols>
    <col min="3" max="3" width="10.85546875" customWidth="1"/>
    <col min="4" max="4" width="8.28515625" customWidth="1"/>
    <col min="5" max="5" width="7.42578125" customWidth="1"/>
    <col min="6" max="6" width="8.5703125" customWidth="1"/>
    <col min="7" max="7" width="9.140625" customWidth="1"/>
    <col min="8" max="8" width="7.85546875" customWidth="1"/>
    <col min="9" max="9" width="8.85546875" customWidth="1"/>
    <col min="10" max="10" width="8.28515625" customWidth="1"/>
    <col min="11" max="11" width="8.42578125" customWidth="1"/>
    <col min="12" max="12" width="7.7109375" customWidth="1"/>
    <col min="13" max="13" width="8.5703125" customWidth="1"/>
    <col min="14" max="14" width="8" customWidth="1"/>
    <col min="15" max="15" width="8.7109375" customWidth="1"/>
    <col min="16" max="16" width="9" customWidth="1"/>
    <col min="17" max="17" width="8.140625" customWidth="1"/>
    <col min="18" max="21" width="9" customWidth="1"/>
    <col min="22" max="22" width="8.140625" customWidth="1"/>
    <col min="23" max="23" width="8.42578125" customWidth="1"/>
    <col min="24" max="24" width="7.28515625" customWidth="1"/>
    <col min="25" max="25" width="7.7109375" customWidth="1"/>
    <col min="26" max="26" width="8.5703125" customWidth="1"/>
    <col min="27" max="27" width="8.28515625" customWidth="1"/>
    <col min="28" max="28" width="9.140625" customWidth="1"/>
  </cols>
  <sheetData>
    <row r="1" spans="1:28">
      <c r="A1" s="117" t="s">
        <v>71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>
      <c r="A2" s="117"/>
      <c r="B2" s="24"/>
      <c r="C2" s="17" t="s">
        <v>39</v>
      </c>
      <c r="D2" s="17" t="s">
        <v>38</v>
      </c>
      <c r="E2" s="17" t="s">
        <v>55</v>
      </c>
      <c r="F2" s="17" t="s">
        <v>58</v>
      </c>
      <c r="G2" s="17" t="s">
        <v>56</v>
      </c>
      <c r="H2" s="17" t="s">
        <v>57</v>
      </c>
      <c r="I2" s="17" t="s">
        <v>59</v>
      </c>
      <c r="J2" s="17" t="s">
        <v>60</v>
      </c>
      <c r="K2" s="17" t="s">
        <v>40</v>
      </c>
      <c r="L2" s="17" t="s">
        <v>41</v>
      </c>
      <c r="M2" s="17" t="s">
        <v>36</v>
      </c>
      <c r="N2" s="17" t="s">
        <v>37</v>
      </c>
      <c r="O2" s="17" t="s">
        <v>47</v>
      </c>
      <c r="P2" s="17" t="s">
        <v>48</v>
      </c>
      <c r="Q2" s="17" t="s">
        <v>73</v>
      </c>
      <c r="R2" s="17" t="s">
        <v>74</v>
      </c>
      <c r="S2" s="86" t="s">
        <v>45</v>
      </c>
      <c r="T2" s="86" t="s">
        <v>46</v>
      </c>
      <c r="U2" s="17" t="s">
        <v>42</v>
      </c>
      <c r="V2" s="17" t="s">
        <v>44</v>
      </c>
      <c r="W2" s="17" t="s">
        <v>43</v>
      </c>
      <c r="X2" s="17" t="s">
        <v>5</v>
      </c>
      <c r="Y2" s="17" t="s">
        <v>6</v>
      </c>
      <c r="Z2" s="17" t="s">
        <v>20</v>
      </c>
      <c r="AA2" s="17" t="s">
        <v>21</v>
      </c>
      <c r="AB2" s="17" t="s">
        <v>22</v>
      </c>
    </row>
    <row r="3" spans="1:28">
      <c r="A3" s="117"/>
      <c r="B3" s="24" t="s">
        <v>39</v>
      </c>
      <c r="C3" s="73">
        <f>CORREL(résultats!$E7:$E160,résultats!E7:E160)</f>
        <v>1</v>
      </c>
      <c r="D3" s="72">
        <f>CORREL(résultats!$E7:$E160,résultats!F7:F160)</f>
        <v>0.90771298317490456</v>
      </c>
      <c r="E3" s="72">
        <f>CORREL(résultats!$E7:$E160,résultats!G7:G160)</f>
        <v>0.10975344380920947</v>
      </c>
      <c r="F3" s="72">
        <f>CORREL(résultats!$E7:$E160,résultats!H7:H160)</f>
        <v>-0.16905907138389434</v>
      </c>
      <c r="G3" s="72">
        <f>CORREL(résultats!$E7:$E160,résultats!I7:I160)</f>
        <v>0.20313523065171546</v>
      </c>
      <c r="H3" s="72">
        <f>CORREL(résultats!$E7:$E160,résultats!J7:J160)</f>
        <v>-6.0695392653644605E-2</v>
      </c>
      <c r="I3" s="72">
        <f>CORREL(résultats!$E7:$E160,résultats!K7:K160)</f>
        <v>8.9392784178607104E-2</v>
      </c>
      <c r="J3" s="72">
        <f>CORREL(résultats!$E7:$E160,résultats!L7:L160)</f>
        <v>0.58268605080615643</v>
      </c>
      <c r="K3" s="72">
        <f>CORREL(résultats!$E7:$E160,résultats!M7:M160)</f>
        <v>9.467930888740958E-2</v>
      </c>
      <c r="L3" s="72">
        <f>CORREL(résultats!$E7:$E160,résultats!N7:N160)</f>
        <v>-0.22178817298572095</v>
      </c>
      <c r="M3" s="72">
        <f>CORREL(résultats!$E7:$E160,résultats!O7:O160)</f>
        <v>-3.3097970897102105E-2</v>
      </c>
      <c r="N3" s="72">
        <f>CORREL(résultats!$E7:$E160,résultats!P7:P160)</f>
        <v>-0.22200357342384874</v>
      </c>
      <c r="O3" s="72">
        <f>CORREL(résultats!$E7:$E160,résultats!Q7:Q160)</f>
        <v>0.18145135180770652</v>
      </c>
      <c r="P3" s="72">
        <f>CORREL(résultats!$E7:$E160,résultats!R7:R160)</f>
        <v>-0.12676121067531801</v>
      </c>
      <c r="Q3" s="72">
        <f>CORREL(résultats!$E7:$E160,résultats!S7:S160)</f>
        <v>0.35982240556321243</v>
      </c>
      <c r="R3" s="72">
        <f>CORREL(résultats!$E7:$E160,résultats!T7:T160)</f>
        <v>0.29418738182472076</v>
      </c>
      <c r="S3" s="72">
        <f>CORREL(résultats!$E7:$E160,résultats!U7:U160)</f>
        <v>-0.11849687180683306</v>
      </c>
      <c r="T3" s="72">
        <f>CORREL(résultats!$E7:$E160,résultats!V7:V160)</f>
        <v>-0.43228402770646313</v>
      </c>
      <c r="U3" s="72">
        <f>CORREL(résultats!$E7:$E160,résultats!W7:W160)</f>
        <v>-4.7768708021015224E-2</v>
      </c>
      <c r="V3" s="72">
        <f>CORREL(résultats!$E7:$E160,résultats!X7:X160)</f>
        <v>0.80050226341511388</v>
      </c>
      <c r="W3" s="72">
        <f>CORREL(résultats!$E7:$E160,résultats!Y7:Y160)</f>
        <v>0.86329693866376556</v>
      </c>
      <c r="X3" s="72">
        <f>CORREL(résultats!$E7:$E160,résultats!Z7:Z160)</f>
        <v>-0.14480073028871054</v>
      </c>
      <c r="Y3" s="72">
        <f>CORREL(résultats!$E7:$E160,résultats!AA7:AA160)</f>
        <v>-8.5338347346222157E-2</v>
      </c>
      <c r="Z3" s="72">
        <f>CORREL(résultats!$E7:$E160,résultats!AB7:AB160)</f>
        <v>3.5754378523925108E-2</v>
      </c>
      <c r="AA3" s="72">
        <f>CORREL(résultats!$E7:$E160,résultats!AC7:AC160)</f>
        <v>-0.12035214642154531</v>
      </c>
      <c r="AB3" s="72">
        <f>CORREL(résultats!$E7:$E160,résultats!AD7:AD160)</f>
        <v>-0.3144131411418461</v>
      </c>
    </row>
    <row r="4" spans="1:28">
      <c r="A4" s="117"/>
      <c r="B4" s="24" t="s">
        <v>38</v>
      </c>
      <c r="C4" s="72">
        <f>CORREL(résultats!$F7:$F160,résultats!E7:E160)</f>
        <v>0.90771298317490456</v>
      </c>
      <c r="D4" s="73">
        <f>CORREL(résultats!$F7:$F160,résultats!F7:F160)</f>
        <v>1</v>
      </c>
      <c r="E4" s="72">
        <f>CORREL(résultats!$F7:$F160,résultats!G7:G160)</f>
        <v>0.44836402392773378</v>
      </c>
      <c r="F4" s="72">
        <f>CORREL(résultats!$F7:$F160,résultats!H7:H160)</f>
        <v>0.21578682461344947</v>
      </c>
      <c r="G4" s="72">
        <f>CORREL(résultats!$F7:$F160,résultats!I7:I160)</f>
        <v>0.53098745191651919</v>
      </c>
      <c r="H4" s="72">
        <f>CORREL(résultats!$F7:$F160,résultats!J7:J160)</f>
        <v>0.32618375150379425</v>
      </c>
      <c r="I4" s="72">
        <f>CORREL(résultats!$F7:$F160,résultats!K7:K160)</f>
        <v>-7.3244457751316161E-2</v>
      </c>
      <c r="J4" s="72">
        <f>CORREL(résultats!$F7:$F160,résultats!L7:L160)</f>
        <v>0.28255003453482108</v>
      </c>
      <c r="K4" s="72">
        <f>CORREL(résultats!$F7:$F160,résultats!M7:M160)</f>
        <v>0.43780681560968826</v>
      </c>
      <c r="L4" s="72">
        <f>CORREL(résultats!$F7:$F160,résultats!N7:N160)</f>
        <v>0.16448401517935482</v>
      </c>
      <c r="M4" s="72">
        <f>CORREL(résultats!$F7:$F160,résultats!O7:O160)</f>
        <v>0.29349536882624727</v>
      </c>
      <c r="N4" s="72">
        <f>CORREL(résultats!$F7:$F160,résultats!P7:P160)</f>
        <v>0.13577576615825185</v>
      </c>
      <c r="O4" s="72">
        <f>CORREL(résultats!$F7:$F160,résultats!Q7:Q160)</f>
        <v>0.51474115134899723</v>
      </c>
      <c r="P4" s="72">
        <f>CORREL(résultats!$F7:$F160,résultats!R7:R160)</f>
        <v>0.26326500747467679</v>
      </c>
      <c r="Q4" s="72">
        <f>CORREL(résultats!$F7:$F160,résultats!S7:S160)</f>
        <v>0.14616604857774976</v>
      </c>
      <c r="R4" s="72">
        <f>CORREL(résultats!$F7:$F160,résultats!T7:T160)</f>
        <v>5.2138242484302974E-2</v>
      </c>
      <c r="S4" s="72">
        <f>CORREL(résultats!$F7:$F160,résultats!U7:U160)</f>
        <v>9.0459795204040822E-2</v>
      </c>
      <c r="T4" s="72">
        <f>CORREL(résultats!$F7:$F160,résultats!V7:V160)</f>
        <v>-0.17802513589723715</v>
      </c>
      <c r="U4" s="72">
        <f>CORREL(résultats!$F7:$F160,résultats!W7:W160)</f>
        <v>4.7275218793554535E-2</v>
      </c>
      <c r="V4" s="72">
        <f>CORREL(résultats!$F7:$F160,résultats!X7:X160)</f>
        <v>0.87138282926522082</v>
      </c>
      <c r="W4" s="72">
        <f>CORREL(résultats!$F7:$F160,résultats!Y7:Y160)</f>
        <v>0.87661186079972675</v>
      </c>
      <c r="X4" s="72">
        <f>CORREL(résultats!$F7:$F160,résultats!Z7:Z160)</f>
        <v>0.19980712705067125</v>
      </c>
      <c r="Y4" s="72">
        <f>CORREL(résultats!$F7:$F160,résultats!AA7:AA160)</f>
        <v>0.18687521981282404</v>
      </c>
      <c r="Z4" s="72">
        <f>CORREL(résultats!$F7:$F160,résultats!AB7:AB160)</f>
        <v>0.29175504271006675</v>
      </c>
      <c r="AA4" s="72">
        <f>CORREL(résultats!$F7:$F160,résultats!AC7:AC160)</f>
        <v>-9.1040602278253266E-2</v>
      </c>
      <c r="AB4" s="72">
        <f>CORREL(résultats!$F7:$F160,résultats!AD7:AD160)</f>
        <v>-1.3112920218902532E-2</v>
      </c>
    </row>
    <row r="5" spans="1:28">
      <c r="A5" s="117"/>
      <c r="B5" s="24" t="s">
        <v>55</v>
      </c>
      <c r="C5" s="72">
        <f>CORREL(résultats!$G7:$G160,résultats!E7:E160)</f>
        <v>0.10975344380920947</v>
      </c>
      <c r="D5" s="72">
        <f>CORREL(résultats!$G7:$G160,résultats!F7:F160)</f>
        <v>0.44836402392773378</v>
      </c>
      <c r="E5" s="73">
        <f>CORREL(résultats!$G7:$G160,résultats!G7:G160)</f>
        <v>1</v>
      </c>
      <c r="F5" s="72">
        <f>CORREL(résultats!$G7:$G160,résultats!H7:H160)</f>
        <v>0.92541916976944782</v>
      </c>
      <c r="G5" s="72">
        <f>CORREL(résultats!$G7:$G160,résultats!I7:I160)</f>
        <v>0.98922355777661608</v>
      </c>
      <c r="H5" s="72">
        <f>CORREL(résultats!$G7:$G160,résultats!J7:J160)</f>
        <v>0.94018527443418598</v>
      </c>
      <c r="I5" s="72">
        <f>CORREL(résultats!$G7:$G160,résultats!K7:K160)</f>
        <v>-0.26595090597813831</v>
      </c>
      <c r="J5" s="72">
        <f>CORREL(résultats!$G7:$G160,résultats!L7:L160)</f>
        <v>-0.43570303603250893</v>
      </c>
      <c r="K5" s="72">
        <f>CORREL(résultats!$G7:$G160,résultats!M7:M160)</f>
        <v>0.99948675369393436</v>
      </c>
      <c r="L5" s="72">
        <f>CORREL(résultats!$G7:$G160,résultats!N7:N160)</f>
        <v>0.90228233264285052</v>
      </c>
      <c r="M5" s="72">
        <f>CORREL(résultats!$G7:$G160,résultats!O7:O160)</f>
        <v>0.9656405051520125</v>
      </c>
      <c r="N5" s="72">
        <f>CORREL(résultats!$G7:$G160,résultats!P7:P160)</f>
        <v>0.9117704888668734</v>
      </c>
      <c r="O5" s="72">
        <f>CORREL(résultats!$G7:$G160,résultats!Q7:Q160)</f>
        <v>0.99059459020598484</v>
      </c>
      <c r="P5" s="72">
        <f>CORREL(résultats!$G7:$G160,résultats!R7:R160)</f>
        <v>0.9183122169212119</v>
      </c>
      <c r="Q5" s="72">
        <f>CORREL(résultats!$G7:$G160,résultats!S7:S160)</f>
        <v>-0.55851019547873115</v>
      </c>
      <c r="R5" s="72">
        <f>CORREL(résultats!$G7:$G160,résultats!T7:T160)</f>
        <v>-0.76534829287620143</v>
      </c>
      <c r="S5" s="72">
        <f>CORREL(résultats!$G7:$G160,résultats!U7:U160)</f>
        <v>0.25207836942467238</v>
      </c>
      <c r="T5" s="72">
        <f>CORREL(résultats!$G7:$G160,résultats!V7:V160)</f>
        <v>0.31833814543043637</v>
      </c>
      <c r="U5" s="72">
        <f>CORREL(résultats!$G7:$G160,résultats!W7:W160)</f>
        <v>0.22507380007797104</v>
      </c>
      <c r="V5" s="72">
        <f>CORREL(résultats!$G7:$G160,résultats!X7:X160)</f>
        <v>0.52554180944242646</v>
      </c>
      <c r="W5" s="72">
        <f>CORREL(résultats!$G7:$G160,résultats!Y7:Y160)</f>
        <v>0.3948133936075986</v>
      </c>
      <c r="X5" s="72">
        <f>CORREL(résultats!$G7:$G160,résultats!Z7:Z160)</f>
        <v>0.87264463378297219</v>
      </c>
      <c r="Y5" s="72">
        <f>CORREL(résultats!$G7:$G160,résultats!AA7:AA160)</f>
        <v>0.72012117654833852</v>
      </c>
      <c r="Z5" s="72">
        <f>CORREL(résultats!$G7:$G160,résultats!AB7:AB160)</f>
        <v>0.34628211209004028</v>
      </c>
      <c r="AA5" s="72">
        <f>CORREL(résultats!$G7:$G160,résultats!AC7:AC160)</f>
        <v>-0.14871555566983649</v>
      </c>
      <c r="AB5" s="72">
        <f>CORREL(résultats!$G7:$G160,résultats!AD7:AD160)</f>
        <v>0.24715760841740478</v>
      </c>
    </row>
    <row r="6" spans="1:28">
      <c r="A6" s="117"/>
      <c r="B6" s="24" t="s">
        <v>58</v>
      </c>
      <c r="C6" s="72">
        <f>+CORREL(résultats!$H7:$H160,résultats!E7:E160)</f>
        <v>-0.16905907138389434</v>
      </c>
      <c r="D6" s="72">
        <f>+CORREL(résultats!$H7:$H160,résultats!F7:F160)</f>
        <v>0.21578682461344947</v>
      </c>
      <c r="E6" s="72">
        <f>+CORREL(résultats!$H7:$H160,résultats!G7:G160)</f>
        <v>0.92541916976944782</v>
      </c>
      <c r="F6" s="73">
        <f>+CORREL(résultats!$H7:$H160,résultats!H7:H160)</f>
        <v>0.99999999999999978</v>
      </c>
      <c r="G6" s="72">
        <f>+CORREL(résultats!$H7:$H160,résultats!I7:I160)</f>
        <v>0.90342396269712089</v>
      </c>
      <c r="H6" s="115">
        <f>+CORREL(résultats!$H7:$H160,résultats!J7:J160)</f>
        <v>0.99007727702617465</v>
      </c>
      <c r="I6" s="72">
        <f>+CORREL(résultats!$H7:$H160,résultats!K7:K160)</f>
        <v>-0.37445688194281979</v>
      </c>
      <c r="J6" s="72">
        <f>+CORREL(résultats!$H7:$H160,résultats!L7:L160)</f>
        <v>-0.69034097786966653</v>
      </c>
      <c r="K6" s="72">
        <f>+CORREL(résultats!$H7:$H160,résultats!M7:M160)</f>
        <v>0.93367109886751176</v>
      </c>
      <c r="L6" s="115">
        <f>+CORREL(résultats!$H7:$H160,résultats!N7:N160)</f>
        <v>0.99751587862829427</v>
      </c>
      <c r="M6" s="72">
        <f>+CORREL(résultats!$H7:$H160,résultats!O7:O160)</f>
        <v>0.9118000801297399</v>
      </c>
      <c r="N6" s="115">
        <f>+CORREL(résultats!$H7:$H160,résultats!P7:P160)</f>
        <v>0.96256165974844743</v>
      </c>
      <c r="O6" s="72">
        <f>+CORREL(résultats!$H7:$H160,résultats!Q7:Q160)</f>
        <v>0.91511790076714272</v>
      </c>
      <c r="P6" s="115">
        <f>+CORREL(résultats!$H7:$H160,résultats!R7:R160)</f>
        <v>0.99238533024118958</v>
      </c>
      <c r="Q6" s="72">
        <f>+CORREL(résultats!$H7:$H160,résultats!S7:S160)</f>
        <v>-0.59511741655896211</v>
      </c>
      <c r="R6" s="154">
        <f>+CORREL(résultats!$H7:$H160,résultats!T7:T160)</f>
        <v>-0.760690550510846</v>
      </c>
      <c r="S6" s="72">
        <f>+CORREL(résultats!$H7:$H160,résultats!U7:U160)</f>
        <v>0.40218264944117793</v>
      </c>
      <c r="T6" s="72">
        <f>+CORREL(résultats!$H7:$H160,résultats!V7:V160)</f>
        <v>0.53738895668036391</v>
      </c>
      <c r="U6" s="72">
        <f>+CORREL(résultats!$H7:$H160,résultats!W7:W160)</f>
        <v>0.22178000275418328</v>
      </c>
      <c r="V6" s="72">
        <f>+CORREL(résultats!$H7:$H160,résultats!X7:X160)</f>
        <v>0.23568604858669334</v>
      </c>
      <c r="W6" s="72">
        <f>+CORREL(résultats!$H7:$H160,résultats!Y7:Y160)</f>
        <v>8.6818086203440004E-2</v>
      </c>
      <c r="X6" s="72">
        <f>+CORREL(résultats!$H7:$H160,résultats!Z7:Z160)</f>
        <v>0.92096332523589375</v>
      </c>
      <c r="Y6" s="72">
        <f>+CORREL(résultats!$H7:$H160,résultats!AA7:AA160)</f>
        <v>0.74596061045117168</v>
      </c>
      <c r="Z6" s="72">
        <f>+CORREL(résultats!$H7:$H160,résultats!AB7:AB160)</f>
        <v>0.34535238389182105</v>
      </c>
      <c r="AA6" s="72">
        <f>+CORREL(résultats!$H7:$H160,résultats!AC7:AC160)</f>
        <v>-0.13069280920105916</v>
      </c>
      <c r="AB6" s="72">
        <f>+CORREL(résultats!$H7:$H160,résultats!AD7:AD160)</f>
        <v>0.24489429790320574</v>
      </c>
    </row>
    <row r="7" spans="1:28">
      <c r="A7" s="117"/>
      <c r="B7" s="24" t="s">
        <v>56</v>
      </c>
      <c r="C7" s="72">
        <f>CORREL(résultats!$I7:$I160,résultats!E7:E160)</f>
        <v>0.20313523065171546</v>
      </c>
      <c r="D7" s="72">
        <f>CORREL(résultats!$I7:$I160,résultats!F7:F160)</f>
        <v>0.53098745191651919</v>
      </c>
      <c r="E7" s="72">
        <f>CORREL(résultats!$I7:$I160,résultats!G7:G160)</f>
        <v>0.98922355777661608</v>
      </c>
      <c r="F7" s="72">
        <f>CORREL(résultats!$I7:$I160,résultats!H7:H160)</f>
        <v>0.90342396269712089</v>
      </c>
      <c r="G7" s="73">
        <f>CORREL(résultats!$I7:$I160,résultats!I7:I160)</f>
        <v>1</v>
      </c>
      <c r="H7" s="72">
        <f>CORREL(résultats!$I7:$I160,résultats!J7:J160)</f>
        <v>0.93014091010494115</v>
      </c>
      <c r="I7" s="72">
        <f>CORREL(résultats!$I7:$I160,résultats!K7:K160)</f>
        <v>-0.25638605577876727</v>
      </c>
      <c r="J7" s="72">
        <f>CORREL(résultats!$I7:$I160,résultats!L7:L160)</f>
        <v>-0.39010282302509125</v>
      </c>
      <c r="K7" s="72">
        <f>CORREL(résultats!$I7:$I160,résultats!M7:M160)</f>
        <v>0.98805611572156393</v>
      </c>
      <c r="L7" s="72">
        <f>CORREL(résultats!$I7:$I160,résultats!N7:N160)</f>
        <v>0.87647155079510575</v>
      </c>
      <c r="M7" s="72">
        <f>CORREL(résultats!$I7:$I160,résultats!O7:O160)</f>
        <v>0.94879081791249475</v>
      </c>
      <c r="N7" s="72">
        <f>CORREL(résultats!$I7:$I160,résultats!P7:P160)</f>
        <v>0.88032893481582641</v>
      </c>
      <c r="O7" s="72">
        <f>CORREL(résultats!$I7:$I160,résultats!Q7:Q160)</f>
        <v>0.9988104579755579</v>
      </c>
      <c r="P7" s="72">
        <f>CORREL(résultats!$I7:$I160,résultats!R7:R160)</f>
        <v>0.90308414561410644</v>
      </c>
      <c r="Q7" s="72">
        <f>CORREL(résultats!$I7:$I160,résultats!S7:S160)</f>
        <v>-0.50753833969763273</v>
      </c>
      <c r="R7" s="72">
        <f>CORREL(résultats!$I7:$I160,résultats!T7:T160)</f>
        <v>-0.71615985936951898</v>
      </c>
      <c r="S7" s="72">
        <f>CORREL(résultats!$I7:$I160,résultats!U7:U160)</f>
        <v>0.25107993735269141</v>
      </c>
      <c r="T7" s="72">
        <f>CORREL(résultats!$I7:$I160,résultats!V7:V160)</f>
        <v>0.28183006406772337</v>
      </c>
      <c r="U7" s="72">
        <f>CORREL(résultats!$I7:$I160,résultats!W7:W160)</f>
        <v>0.22677534590523116</v>
      </c>
      <c r="V7" s="72">
        <f>CORREL(résultats!$I7:$I160,résultats!X7:X160)</f>
        <v>0.58217604042680648</v>
      </c>
      <c r="W7" s="72">
        <f>CORREL(résultats!$I7:$I160,résultats!Y7:Y160)</f>
        <v>0.455593192475366</v>
      </c>
      <c r="X7" s="72">
        <f>CORREL(résultats!$I7:$I160,résultats!Z7:Z160)</f>
        <v>0.84148741700076946</v>
      </c>
      <c r="Y7" s="72">
        <f>CORREL(résultats!$I7:$I160,résultats!AA7:AA160)</f>
        <v>0.69513814800830764</v>
      </c>
      <c r="Z7" s="72">
        <f>CORREL(résultats!$I7:$I160,résultats!AB7:AB160)</f>
        <v>0.34485803297725276</v>
      </c>
      <c r="AA7" s="72">
        <f>CORREL(résultats!$I7:$I160,résultats!AC7:AC160)</f>
        <v>-0.14728982889756734</v>
      </c>
      <c r="AB7" s="72">
        <f>CORREL(résultats!$I7:$I160,résultats!AD7:AD160)</f>
        <v>0.23640390295149721</v>
      </c>
    </row>
    <row r="8" spans="1:28">
      <c r="A8" s="117"/>
      <c r="B8" s="24" t="s">
        <v>57</v>
      </c>
      <c r="C8" s="72">
        <f>CORREL(résultats!$J7:$J160,résultats!E7:E160)</f>
        <v>-6.0695392653644605E-2</v>
      </c>
      <c r="D8" s="72">
        <f>CORREL(résultats!$J7:$J160,résultats!F7:F160)</f>
        <v>0.32618375150379425</v>
      </c>
      <c r="E8" s="72">
        <f>CORREL(résultats!$J7:$J160,résultats!G7:G160)</f>
        <v>0.94018527443418598</v>
      </c>
      <c r="F8" s="115">
        <f>CORREL(résultats!$J7:$J160,résultats!H7:H160)</f>
        <v>0.99007727702617465</v>
      </c>
      <c r="G8" s="72">
        <f>CORREL(résultats!$J7:$J160,résultats!I7:I160)</f>
        <v>0.93014091010494115</v>
      </c>
      <c r="H8" s="73">
        <f>CORREL(résultats!$J7:$J160,résultats!J7:J160)</f>
        <v>1.0000000000000002</v>
      </c>
      <c r="I8" s="72">
        <f>CORREL(résultats!$J7:$J160,résultats!K7:K160)</f>
        <v>-0.38751519730715883</v>
      </c>
      <c r="J8" s="72">
        <f>CORREL(résultats!$J7:$J160,résultats!L7:L160)</f>
        <v>-0.65933172861164213</v>
      </c>
      <c r="K8" s="72">
        <f>CORREL(résultats!$J7:$J160,résultats!M7:M160)</f>
        <v>0.94804899293918998</v>
      </c>
      <c r="L8" s="115">
        <f>CORREL(résultats!$J7:$J160,résultats!N7:N160)</f>
        <v>0.98382422194541252</v>
      </c>
      <c r="M8" s="72">
        <f>CORREL(résultats!$J7:$J160,résultats!O7:O160)</f>
        <v>0.90242834588082976</v>
      </c>
      <c r="N8" s="115">
        <f>CORREL(résultats!$J7:$J160,résultats!P7:P160)</f>
        <v>0.93864800656001857</v>
      </c>
      <c r="O8" s="72">
        <f>CORREL(résultats!$J7:$J160,résultats!Q7:Q160)</f>
        <v>0.94062208662470792</v>
      </c>
      <c r="P8" s="115">
        <f>CORREL(résultats!$J7:$J160,résultats!R7:R160)</f>
        <v>0.996764064397056</v>
      </c>
      <c r="Q8" s="72">
        <f>CORREL(résultats!$J7:$J160,résultats!S7:S160)</f>
        <v>-0.53913165694699361</v>
      </c>
      <c r="R8" s="154">
        <f>CORREL(résultats!$J7:$J160,résultats!T7:T160)</f>
        <v>-0.70500454244402477</v>
      </c>
      <c r="S8" s="72">
        <f>CORREL(résultats!$J7:$J160,résultats!U7:U160)</f>
        <v>0.4329642951213063</v>
      </c>
      <c r="T8" s="72">
        <f>CORREL(résultats!$J7:$J160,résultats!V7:V160)</f>
        <v>0.52215263297447279</v>
      </c>
      <c r="U8" s="72">
        <f>CORREL(résultats!$J7:$J160,résultats!W7:W160)</f>
        <v>0.22141951970898988</v>
      </c>
      <c r="V8" s="72">
        <f>CORREL(résultats!$J7:$J160,résultats!X7:X160)</f>
        <v>0.30873119531005011</v>
      </c>
      <c r="W8" s="72">
        <f>CORREL(résultats!$J7:$J160,résultats!Y7:Y160)</f>
        <v>0.16461770206298137</v>
      </c>
      <c r="X8" s="72">
        <f>CORREL(résultats!$J7:$J160,résultats!Z7:Z160)</f>
        <v>0.91193451538859494</v>
      </c>
      <c r="Y8" s="72">
        <f>CORREL(résultats!$J7:$J160,résultats!AA7:AA160)</f>
        <v>0.73881334421140976</v>
      </c>
      <c r="Z8" s="72">
        <f>CORREL(résultats!$J7:$J160,résultats!AB7:AB160)</f>
        <v>0.33705393570243991</v>
      </c>
      <c r="AA8" s="72">
        <f>CORREL(résultats!$J7:$J160,résultats!AC7:AC160)</f>
        <v>-0.12156821135680873</v>
      </c>
      <c r="AB8" s="72">
        <f>CORREL(résultats!$J7:$J160,résultats!AD7:AD160)</f>
        <v>0.21932327148403905</v>
      </c>
    </row>
    <row r="9" spans="1:28">
      <c r="A9" s="117"/>
      <c r="B9" s="24" t="s">
        <v>59</v>
      </c>
      <c r="C9" s="72">
        <f>CORREL(résultats!$K7:$K160,résultats!E7:E160)</f>
        <v>8.9392784178607104E-2</v>
      </c>
      <c r="D9" s="72">
        <f>CORREL(résultats!$K7:$K160,résultats!F7:F160)</f>
        <v>-7.3244457751316161E-2</v>
      </c>
      <c r="E9" s="72">
        <f>CORREL(résultats!$K7:$K160,résultats!G7:G160)</f>
        <v>-0.26595090597813831</v>
      </c>
      <c r="F9" s="72">
        <f>CORREL(résultats!$K7:$K160,résultats!H7:H160)</f>
        <v>-0.37445688194281979</v>
      </c>
      <c r="G9" s="72">
        <f>CORREL(résultats!$K7:$K160,résultats!I7:I160)</f>
        <v>-0.25638605577876727</v>
      </c>
      <c r="H9" s="72">
        <f>CORREL(résultats!$K7:$K160,résultats!J7:J160)</f>
        <v>-0.38751519730715883</v>
      </c>
      <c r="I9" s="73">
        <f>CORREL(résultats!$K7:$K160,résultats!K7:K160)</f>
        <v>1</v>
      </c>
      <c r="J9" s="72">
        <f>CORREL(résultats!$K7:$K160,résultats!L7:L160)</f>
        <v>0.50768478208280132</v>
      </c>
      <c r="K9" s="72">
        <f>CORREL(résultats!$K7:$K160,résultats!M7:M160)</f>
        <v>-0.28140191161798284</v>
      </c>
      <c r="L9" s="72">
        <f>CORREL(résultats!$K7:$K160,résultats!N7:N160)</f>
        <v>-0.39436340022873045</v>
      </c>
      <c r="M9" s="72">
        <f>CORREL(résultats!$K7:$K160,résultats!O7:O160)</f>
        <v>-0.18942485740650447</v>
      </c>
      <c r="N9" s="72">
        <f>CORREL(résultats!$K7:$K160,résultats!P7:P160)</f>
        <v>-0.26018664050745538</v>
      </c>
      <c r="O9" s="72">
        <f>CORREL(résultats!$K7:$K160,résultats!Q7:Q160)</f>
        <v>-0.27365155272189723</v>
      </c>
      <c r="P9" s="72">
        <f>CORREL(résultats!$K7:$K160,résultats!R7:R160)</f>
        <v>-0.40839754209820939</v>
      </c>
      <c r="Q9" s="72">
        <f>CORREL(résultats!$K7:$K160,résultats!S7:S160)</f>
        <v>9.0108872693621583E-2</v>
      </c>
      <c r="R9" s="72">
        <f>CORREL(résultats!$K7:$K160,résultats!T7:T160)</f>
        <v>9.8468238783014694E-2</v>
      </c>
      <c r="S9" s="72">
        <f>CORREL(résultats!$K7:$K160,résultats!U7:U160)</f>
        <v>-0.54882847758073905</v>
      </c>
      <c r="T9" s="72">
        <f>CORREL(résultats!$K7:$K160,résultats!V7:V160)</f>
        <v>-0.54692287731448108</v>
      </c>
      <c r="U9" s="72">
        <f>CORREL(résultats!$K7:$K160,résultats!W7:W160)</f>
        <v>0.65636932885848076</v>
      </c>
      <c r="V9" s="72">
        <f>CORREL(résultats!$K7:$K160,résultats!X7:X160)</f>
        <v>0.11958166635502643</v>
      </c>
      <c r="W9" s="72">
        <f>CORREL(résultats!$K7:$K160,résultats!Y7:Y160)</f>
        <v>0.15001457512291819</v>
      </c>
      <c r="X9" s="72">
        <f>CORREL(résultats!$K7:$K160,résultats!Z7:Z160)</f>
        <v>-0.20026281420508249</v>
      </c>
      <c r="Y9" s="72">
        <f>CORREL(résultats!$K7:$K160,résultats!AA7:AA160)</f>
        <v>-0.48733335848507225</v>
      </c>
      <c r="Z9" s="72">
        <f>CORREL(résultats!$K7:$K160,résultats!AB7:AB160)</f>
        <v>-0.1236852263960314</v>
      </c>
      <c r="AA9" s="72">
        <f>CORREL(résultats!$K7:$K160,résultats!AC7:AC160)</f>
        <v>4.1077319969008942E-3</v>
      </c>
      <c r="AB9" s="72">
        <f>CORREL(résultats!$K7:$K160,résultats!AD7:AD160)</f>
        <v>0.10383417170129768</v>
      </c>
    </row>
    <row r="10" spans="1:28">
      <c r="A10" s="117"/>
      <c r="B10" s="24" t="s">
        <v>60</v>
      </c>
      <c r="C10" s="72">
        <f>CORREL(résultats!$L7:$L160,résultats!E7:E160)</f>
        <v>0.58268605080615643</v>
      </c>
      <c r="D10" s="72">
        <f>CORREL(résultats!$L7:$L160,résultats!F7:F160)</f>
        <v>0.28255003453482108</v>
      </c>
      <c r="E10" s="72">
        <f>CORREL(résultats!$L7:$L160,résultats!G7:G160)</f>
        <v>-0.43570303603250893</v>
      </c>
      <c r="F10" s="72">
        <f>CORREL(résultats!$L7:$L160,résultats!H7:H160)</f>
        <v>-0.69034097786966653</v>
      </c>
      <c r="G10" s="72">
        <f>CORREL(résultats!$L7:$L160,résultats!I7:I160)</f>
        <v>-0.39010282302509125</v>
      </c>
      <c r="H10" s="72">
        <f>CORREL(résultats!$L7:$L160,résultats!J7:J160)</f>
        <v>-0.65933172861164213</v>
      </c>
      <c r="I10" s="72">
        <f>CORREL(résultats!$L7:$L160,résultats!K7:K160)</f>
        <v>0.50768478208280132</v>
      </c>
      <c r="J10" s="73">
        <f>CORREL(résultats!$L7:$L160,résultats!L7:L160)</f>
        <v>1</v>
      </c>
      <c r="K10" s="72">
        <f>CORREL(résultats!$L7:$L160,résultats!M7:M160)</f>
        <v>-0.46251294909681956</v>
      </c>
      <c r="L10" s="72">
        <f>CORREL(résultats!$L7:$L160,résultats!N7:N160)</f>
        <v>-0.73853413654028832</v>
      </c>
      <c r="M10" s="72">
        <f>CORREL(résultats!$L7:$L160,résultats!O7:O160)</f>
        <v>-0.40380163065549851</v>
      </c>
      <c r="N10" s="72">
        <f>CORREL(résultats!$L7:$L160,résultats!P7:P160)</f>
        <v>-0.56734443924557865</v>
      </c>
      <c r="O10" s="72">
        <f>CORREL(résultats!$L7:$L160,résultats!Q7:Q160)</f>
        <v>-0.42218583277863792</v>
      </c>
      <c r="P10" s="72">
        <f>CORREL(résultats!$L7:$L160,résultats!R7:R160)</f>
        <v>-0.7159539478281437</v>
      </c>
      <c r="Q10" s="72">
        <f>CORREL(résultats!$L7:$L160,résultats!S7:S160)</f>
        <v>0.33218000934904685</v>
      </c>
      <c r="R10" s="72">
        <f>CORREL(résultats!$L7:$L160,résultats!T7:T160)</f>
        <v>0.31733396687413501</v>
      </c>
      <c r="S10" s="72">
        <f>CORREL(résultats!$L7:$L160,résultats!U7:U160)</f>
        <v>-0.77160188460866785</v>
      </c>
      <c r="T10" s="72">
        <f>CORREL(résultats!$L7:$L160,résultats!V7:V160)</f>
        <v>-0.88712333257615095</v>
      </c>
      <c r="U10" s="72">
        <f>CORREL(résultats!$L7:$L160,résultats!W7:W160)</f>
        <v>-0.16155493281338579</v>
      </c>
      <c r="V10" s="72">
        <f>CORREL(résultats!$L7:$L160,résultats!X7:X160)</f>
        <v>0.4588922490201367</v>
      </c>
      <c r="W10" s="72">
        <f>CORREL(résultats!$L7:$L160,résultats!Y7:Y160)</f>
        <v>0.56972473221923126</v>
      </c>
      <c r="X10" s="72">
        <f>CORREL(résultats!$L7:$L160,résultats!Z7:Z160)</f>
        <v>-0.52904431677896313</v>
      </c>
      <c r="Y10" s="72">
        <f>CORREL(résultats!$L7:$L160,résultats!AA7:AA160)</f>
        <v>-0.5389385582491556</v>
      </c>
      <c r="Z10" s="72">
        <f>CORREL(résultats!$L7:$L160,résultats!AB7:AB160)</f>
        <v>-0.22818151833479192</v>
      </c>
      <c r="AA10" s="72">
        <f>CORREL(résultats!$L7:$L160,résultats!AC7:AC160)</f>
        <v>-7.9271287021571851E-2</v>
      </c>
      <c r="AB10" s="72">
        <f>CORREL(résultats!$L7:$L160,résultats!AD7:AD160)</f>
        <v>-0.10767987030832264</v>
      </c>
    </row>
    <row r="11" spans="1:28">
      <c r="A11" s="117"/>
      <c r="B11" s="24" t="s">
        <v>40</v>
      </c>
      <c r="C11" s="72">
        <f>CORREL(résultats!$M7:$M160,résultats!E7:E160)</f>
        <v>9.467930888740958E-2</v>
      </c>
      <c r="D11" s="72">
        <f>CORREL(résultats!$M7:$M160,résultats!F7:F160)</f>
        <v>0.43780681560968826</v>
      </c>
      <c r="E11" s="72">
        <f>CORREL(résultats!$M7:$M160,résultats!G7:G160)</f>
        <v>0.99948675369393436</v>
      </c>
      <c r="F11" s="72">
        <f>CORREL(résultats!$M7:$M160,résultats!H7:H160)</f>
        <v>0.93367109886751176</v>
      </c>
      <c r="G11" s="72">
        <f>CORREL(résultats!$M7:$M160,résultats!I7:I160)</f>
        <v>0.98805611572156393</v>
      </c>
      <c r="H11" s="72">
        <f>CORREL(résultats!$M7:$M160,résultats!J7:J160)</f>
        <v>0.94804899293918998</v>
      </c>
      <c r="I11" s="72">
        <f>CORREL(résultats!$M7:$M160,résultats!K7:K160)</f>
        <v>-0.28140191161798284</v>
      </c>
      <c r="J11" s="72">
        <f>CORREL(résultats!$M7:$M160,résultats!L7:L160)</f>
        <v>-0.46251294909681956</v>
      </c>
      <c r="K11" s="73">
        <f>CORREL(résultats!$M7:$M160,résultats!M7:M160)</f>
        <v>1</v>
      </c>
      <c r="L11" s="72">
        <f>CORREL(résultats!$M7:$M160,résultats!N7:N160)</f>
        <v>0.91247421693931241</v>
      </c>
      <c r="M11" s="72">
        <f>CORREL(résultats!$M7:$M160,résultats!O7:O160)</f>
        <v>0.96264815739685883</v>
      </c>
      <c r="N11" s="72">
        <f>CORREL(résultats!$M7:$M160,résultats!P7:P160)</f>
        <v>0.91413156683455332</v>
      </c>
      <c r="O11" s="72">
        <f>CORREL(résultats!$M7:$M160,résultats!Q7:Q160)</f>
        <v>0.99056362652572627</v>
      </c>
      <c r="P11" s="72">
        <f>CORREL(résultats!$M7:$M160,résultats!R7:R160)</f>
        <v>0.92830985133611033</v>
      </c>
      <c r="Q11" s="72">
        <f>CORREL(résultats!$M7:$M160,résultats!S7:S160)</f>
        <v>-0.55695247564755646</v>
      </c>
      <c r="R11" s="72">
        <f>CORREL(résultats!$M7:$M160,résultats!T7:T160)</f>
        <v>-0.76021091410435382</v>
      </c>
      <c r="S11" s="72">
        <f>CORREL(résultats!$M7:$M160,résultats!U7:U160)</f>
        <v>0.27940555734697797</v>
      </c>
      <c r="T11" s="72">
        <f>CORREL(résultats!$M7:$M160,résultats!V7:V160)</f>
        <v>0.34529579426567436</v>
      </c>
      <c r="U11" s="72">
        <f>CORREL(résultats!$M7:$M160,résultats!W7:W160)</f>
        <v>0.22703741224055277</v>
      </c>
      <c r="V11" s="72">
        <f>CORREL(résultats!$M7:$M160,résultats!X7:X160)</f>
        <v>0.50477604519783792</v>
      </c>
      <c r="W11" s="72">
        <f>CORREL(résultats!$M7:$M160,résultats!Y7:Y160)</f>
        <v>0.37285838855317249</v>
      </c>
      <c r="X11" s="72">
        <f>CORREL(résultats!$M7:$M160,résultats!Z7:Z160)</f>
        <v>0.87644920630147805</v>
      </c>
      <c r="Y11" s="72">
        <f>CORREL(résultats!$M7:$M160,résultats!AA7:AA160)</f>
        <v>0.73023361345042936</v>
      </c>
      <c r="Z11" s="72">
        <f>CORREL(résultats!$M7:$M160,résultats!AB7:AB160)</f>
        <v>0.34576014249009235</v>
      </c>
      <c r="AA11" s="72">
        <f>CORREL(résultats!$M7:$M160,résultats!AC7:AC160)</f>
        <v>-0.14701538809443443</v>
      </c>
      <c r="AB11" s="72">
        <f>CORREL(résultats!$M7:$M160,résultats!AD7:AD160)</f>
        <v>0.24334997980019588</v>
      </c>
    </row>
    <row r="12" spans="1:28">
      <c r="A12" s="117"/>
      <c r="B12" s="24" t="s">
        <v>41</v>
      </c>
      <c r="C12" s="72">
        <f>CORREL(résultats!$N7:$N160,résultats!E7:E160)</f>
        <v>-0.22178817298572095</v>
      </c>
      <c r="D12" s="72">
        <f>CORREL(résultats!$N7:$N160,résultats!F7:F160)</f>
        <v>0.16448401517935482</v>
      </c>
      <c r="E12" s="72">
        <f>CORREL(résultats!$N7:$N160,résultats!G7:G160)</f>
        <v>0.90228233264285052</v>
      </c>
      <c r="F12" s="115">
        <f>CORREL(résultats!$N7:$N160,résultats!H7:H160)</f>
        <v>0.99751587862829427</v>
      </c>
      <c r="G12" s="72">
        <f>CORREL(résultats!$N7:$N160,résultats!I7:I160)</f>
        <v>0.87647155079510575</v>
      </c>
      <c r="H12" s="115">
        <f>CORREL(résultats!$N7:$N160,résultats!J7:J160)</f>
        <v>0.98382422194541252</v>
      </c>
      <c r="I12" s="72">
        <f>CORREL(résultats!$N7:$N160,résultats!K7:K160)</f>
        <v>-0.39436340022873045</v>
      </c>
      <c r="J12" s="72">
        <f>CORREL(résultats!$N7:$N160,résultats!L7:L160)</f>
        <v>-0.73853413654028832</v>
      </c>
      <c r="K12" s="72">
        <f>CORREL(résultats!$N7:$N160,résultats!M7:M160)</f>
        <v>0.91247421693931241</v>
      </c>
      <c r="L12" s="73">
        <f>CORREL(résultats!$N7:$N160,résultats!N7:N160)</f>
        <v>0.99999999999999989</v>
      </c>
      <c r="M12" s="72">
        <f>CORREL(résultats!$N7:$N160,résultats!O7:O160)</f>
        <v>0.88926721680748311</v>
      </c>
      <c r="N12" s="115">
        <f>CORREL(résultats!$N7:$N160,résultats!P7:P160)</f>
        <v>0.95324514062957599</v>
      </c>
      <c r="O12" s="72">
        <f>CORREL(résultats!$N7:$N160,résultats!Q7:Q160)</f>
        <v>0.89041684715386105</v>
      </c>
      <c r="P12" s="115">
        <f>CORREL(résultats!$N7:$N160,résultats!R7:R160)</f>
        <v>0.99172680334443175</v>
      </c>
      <c r="Q12" s="72">
        <f>CORREL(résultats!$N7:$N160,résultats!S7:S160)</f>
        <v>-0.59172789388215241</v>
      </c>
      <c r="R12" s="154">
        <f>CORREL(résultats!$N7:$N160,résultats!T7:T160)</f>
        <v>-0.7458206026610088</v>
      </c>
      <c r="S12" s="72">
        <f>CORREL(résultats!$N7:$N160,résultats!U7:U160)</f>
        <v>0.44104554328381329</v>
      </c>
      <c r="T12" s="72">
        <f>CORREL(résultats!$N7:$N160,résultats!V7:V160)</f>
        <v>0.58360312823208482</v>
      </c>
      <c r="U12" s="72">
        <f>CORREL(résultats!$N7:$N160,résultats!W7:W160)</f>
        <v>0.22170256306165517</v>
      </c>
      <c r="V12" s="72">
        <f>CORREL(résultats!$N7:$N160,résultats!X7:X160)</f>
        <v>0.16994422404513501</v>
      </c>
      <c r="W12" s="72">
        <f>CORREL(résultats!$N7:$N160,résultats!Y7:Y160)</f>
        <v>2.037560079205155E-2</v>
      </c>
      <c r="X12" s="72">
        <f>CORREL(résultats!$N7:$N160,résultats!Z7:Z160)</f>
        <v>0.90953434296320557</v>
      </c>
      <c r="Y12" s="72">
        <f>CORREL(résultats!$N7:$N160,résultats!AA7:AA160)</f>
        <v>0.74732015562144782</v>
      </c>
      <c r="Z12" s="72">
        <f>CORREL(résultats!$N7:$N160,résultats!AB7:AB160)</f>
        <v>0.34359050931752844</v>
      </c>
      <c r="AA12" s="72">
        <f>CORREL(résultats!$N7:$N160,résultats!AC7:AC160)</f>
        <v>-0.12346386337122225</v>
      </c>
      <c r="AB12" s="72">
        <f>CORREL(résultats!$N7:$N160,résultats!AD7:AD160)</f>
        <v>0.24167605932490732</v>
      </c>
    </row>
    <row r="13" spans="1:28" ht="15.75" thickBot="1">
      <c r="A13" s="117"/>
      <c r="B13" s="24" t="s">
        <v>36</v>
      </c>
      <c r="C13" s="72">
        <f>CORREL(résultats!$O7:$O160,résultats!E7:E160)</f>
        <v>-3.3097970897102105E-2</v>
      </c>
      <c r="D13" s="72">
        <f>CORREL(résultats!$O7:$O160,résultats!F7:F160)</f>
        <v>0.29349536882624727</v>
      </c>
      <c r="E13" s="72">
        <f>CORREL(résultats!$O7:$O160,résultats!G7:G160)</f>
        <v>0.9656405051520125</v>
      </c>
      <c r="F13" s="72">
        <f>CORREL(résultats!$O7:$O160,résultats!H7:H160)</f>
        <v>0.9118000801297399</v>
      </c>
      <c r="G13" s="72">
        <f>CORREL(résultats!$O7:$O160,résultats!I7:I160)</f>
        <v>0.94879081791249475</v>
      </c>
      <c r="H13" s="72">
        <f>CORREL(résultats!$O7:$O160,résultats!J7:J160)</f>
        <v>0.90242834588082976</v>
      </c>
      <c r="I13" s="72">
        <f>CORREL(résultats!$O7:$O160,résultats!K7:K160)</f>
        <v>-0.18942485740650447</v>
      </c>
      <c r="J13" s="72">
        <f>CORREL(résultats!$O7:$O160,résultats!L7:L160)</f>
        <v>-0.40380163065549851</v>
      </c>
      <c r="K13" s="72">
        <f>CORREL(résultats!$O7:$O160,résultats!M7:M160)</f>
        <v>0.96264815739685883</v>
      </c>
      <c r="L13" s="72">
        <f>CORREL(résultats!$O7:$O160,résultats!N7:N160)</f>
        <v>0.88926721680748311</v>
      </c>
      <c r="M13" s="73">
        <f>CORREL(résultats!$O7:$O160,résultats!O7:O160)</f>
        <v>1</v>
      </c>
      <c r="N13" s="72">
        <f>CORREL(résultats!$O7:$O160,résultats!P7:P160)</f>
        <v>0.94941923719024524</v>
      </c>
      <c r="O13" s="72">
        <f>CORREL(résultats!$O7:$O160,résultats!Q7:Q160)</f>
        <v>0.94816223999828309</v>
      </c>
      <c r="P13" s="72">
        <f>CORREL(résultats!$O7:$O160,résultats!R7:R160)</f>
        <v>0.88320506063357851</v>
      </c>
      <c r="Q13" s="72">
        <f>CORREL(résultats!$O7:$O160,résultats!S7:S160)</f>
        <v>-0.65576120613373523</v>
      </c>
      <c r="R13" s="72">
        <f>CORREL(résultats!$O7:$O160,résultats!T7:T160)</f>
        <v>-0.87259770942660908</v>
      </c>
      <c r="S13" s="72">
        <f>CORREL(résultats!$O7:$O160,résultats!U7:U160)</f>
        <v>9.8089093838463454E-2</v>
      </c>
      <c r="T13" s="72">
        <f>CORREL(résultats!$O7:$O160,résultats!V7:V160)</f>
        <v>0.24853503183224654</v>
      </c>
      <c r="U13" s="72">
        <f>CORREL(résultats!$O7:$O160,résultats!W7:W160)</f>
        <v>0.22243253903752613</v>
      </c>
      <c r="V13" s="72">
        <f>CORREL(résultats!$O7:$O160,résultats!X7:X160)</f>
        <v>0.45821529618109669</v>
      </c>
      <c r="W13" s="72">
        <f>CORREL(résultats!$O7:$O160,résultats!Y7:Y160)</f>
        <v>0.31890030650432061</v>
      </c>
      <c r="X13" s="72">
        <f>CORREL(résultats!$O7:$O160,résultats!Z7:Z160)</f>
        <v>0.87764194490695202</v>
      </c>
      <c r="Y13" s="72">
        <f>CORREL(résultats!$O7:$O160,résultats!AA7:AA160)</f>
        <v>0.69789191953991092</v>
      </c>
      <c r="Z13" s="72">
        <f>CORREL(résultats!$O7:$O160,résultats!AB7:AB160)</f>
        <v>0.35983809464703675</v>
      </c>
      <c r="AA13" s="72">
        <f>CORREL(résultats!$O7:$O160,résultats!AC7:AC160)</f>
        <v>-0.15850954586529029</v>
      </c>
      <c r="AB13" s="72">
        <f>CORREL(résultats!$O7:$O160,résultats!AD7:AD160)</f>
        <v>0.2976520509495314</v>
      </c>
    </row>
    <row r="14" spans="1:28" ht="15.75" thickBot="1">
      <c r="A14" s="117"/>
      <c r="B14" s="24" t="s">
        <v>37</v>
      </c>
      <c r="C14" s="72">
        <f>CORREL(résultats!$P7:$P160,résultats!E7:E160)</f>
        <v>-0.22200357342384874</v>
      </c>
      <c r="D14" s="72">
        <f>CORREL(résultats!$P7:$P160,résultats!F7:F160)</f>
        <v>0.13577576615825185</v>
      </c>
      <c r="E14" s="72">
        <f>CORREL(résultats!$P7:$P160,résultats!G7:G160)</f>
        <v>0.9117704888668734</v>
      </c>
      <c r="F14" s="115">
        <f>CORREL(résultats!$P7:$P160,résultats!H7:H160)</f>
        <v>0.96256165974844743</v>
      </c>
      <c r="G14" s="72">
        <f>CORREL(résultats!$P7:$P160,résultats!I7:I160)</f>
        <v>0.88032893481582641</v>
      </c>
      <c r="H14" s="115">
        <f>CORREL(résultats!$P7:$P160,résultats!J7:J160)</f>
        <v>0.93864800656001857</v>
      </c>
      <c r="I14" s="72">
        <f>CORREL(résultats!$P7:$P160,résultats!K7:K160)</f>
        <v>-0.26018664050745538</v>
      </c>
      <c r="J14" s="72">
        <f>CORREL(résultats!$P7:$P160,résultats!L7:L160)</f>
        <v>-0.56734443924557865</v>
      </c>
      <c r="K14" s="72">
        <f>CORREL(résultats!$P7:$P160,résultats!M7:M160)</f>
        <v>0.91413156683455332</v>
      </c>
      <c r="L14" s="115">
        <f>CORREL(résultats!$P7:$P160,résultats!N7:N160)</f>
        <v>0.95324514062957599</v>
      </c>
      <c r="M14" s="72">
        <f>CORREL(résultats!$P7:$P160,résultats!O7:O160)</f>
        <v>0.94941923719024524</v>
      </c>
      <c r="N14" s="73">
        <f>CORREL(résultats!$P7:$P160,résultats!P7:P160)</f>
        <v>1</v>
      </c>
      <c r="O14" s="72">
        <f>CORREL(résultats!$P7:$P160,résultats!Q7:Q160)</f>
        <v>0.88665612571525432</v>
      </c>
      <c r="P14" s="160">
        <f>CORREL(résultats!$P7:$P160,résultats!R7:R160)</f>
        <v>0.93453985687477514</v>
      </c>
      <c r="Q14" s="72">
        <f>CORREL(résultats!$P7:$P160,résultats!S7:S160)</f>
        <v>-0.67318595474325171</v>
      </c>
      <c r="R14" s="161">
        <f>CORREL(résultats!$P7:$P160,résultats!T7:T160)</f>
        <v>-0.86750573926799279</v>
      </c>
      <c r="S14" s="72">
        <f>CORREL(résultats!$P7:$P160,résultats!U7:U160)</f>
        <v>0.18019454806884871</v>
      </c>
      <c r="T14" s="72">
        <f>CORREL(résultats!$P7:$P160,résultats!V7:V160)</f>
        <v>0.3948273717040493</v>
      </c>
      <c r="U14" s="72">
        <f>CORREL(résultats!$P7:$P160,résultats!W7:W160)</f>
        <v>0.2065964090560605</v>
      </c>
      <c r="V14" s="72">
        <f>CORREL(résultats!$P7:$P160,résultats!X7:X160)</f>
        <v>0.27042815560730976</v>
      </c>
      <c r="W14" s="72">
        <f>CORREL(résultats!$P7:$P160,résultats!Y7:Y160)</f>
        <v>0.11808438797433872</v>
      </c>
      <c r="X14" s="72">
        <f>CORREL(résultats!$P7:$P160,résultats!Z7:Z160)</f>
        <v>0.93756198440010086</v>
      </c>
      <c r="Y14" s="72">
        <f>CORREL(résultats!$P7:$P160,résultats!AA7:AA160)</f>
        <v>0.68820223717184881</v>
      </c>
      <c r="Z14" s="72">
        <f>CORREL(résultats!$P7:$P160,résultats!AB7:AB160)</f>
        <v>0.34604557413983261</v>
      </c>
      <c r="AA14" s="72">
        <f>CORREL(résultats!$P7:$P160,résultats!AC7:AC160)</f>
        <v>-9.5884302373776042E-2</v>
      </c>
      <c r="AB14" s="72">
        <f>CORREL(résultats!$P7:$P160,résultats!AD7:AD160)</f>
        <v>0.32126825810809678</v>
      </c>
    </row>
    <row r="15" spans="1:28" ht="15.75" thickBot="1">
      <c r="A15" s="117"/>
      <c r="B15" s="24" t="s">
        <v>47</v>
      </c>
      <c r="C15" s="72">
        <f>CORREL(résultats!$Q7:$Q160,résultats!E7:E160)</f>
        <v>0.18145135180770652</v>
      </c>
      <c r="D15" s="72">
        <f>CORREL(résultats!$Q7:$Q160,résultats!F7:F160)</f>
        <v>0.51474115134899723</v>
      </c>
      <c r="E15" s="72">
        <f>CORREL(résultats!$Q7:$Q160,résultats!G7:G160)</f>
        <v>0.99059459020598484</v>
      </c>
      <c r="F15" s="72">
        <f>CORREL(résultats!$Q7:$Q160,résultats!H7:H160)</f>
        <v>0.91511790076714272</v>
      </c>
      <c r="G15" s="72">
        <f>CORREL(résultats!$Q7:$Q160,résultats!I7:I160)</f>
        <v>0.9988104579755579</v>
      </c>
      <c r="H15" s="72">
        <f>CORREL(résultats!$Q7:$Q160,résultats!J7:J160)</f>
        <v>0.94062208662470792</v>
      </c>
      <c r="I15" s="72">
        <f>CORREL(résultats!$Q7:$Q160,résultats!K7:K160)</f>
        <v>-0.27365155272189723</v>
      </c>
      <c r="J15" s="72">
        <f>CORREL(résultats!$Q7:$Q160,résultats!L7:L160)</f>
        <v>-0.42218583277863792</v>
      </c>
      <c r="K15" s="72">
        <f>CORREL(résultats!$Q7:$Q160,résultats!M7:M160)</f>
        <v>0.99056362652572627</v>
      </c>
      <c r="L15" s="72">
        <f>CORREL(résultats!$Q7:$Q160,résultats!N7:N160)</f>
        <v>0.89041684715386105</v>
      </c>
      <c r="M15" s="72">
        <f>CORREL(résultats!$Q7:$Q160,résultats!O7:O160)</f>
        <v>0.94816223999828309</v>
      </c>
      <c r="N15" s="72">
        <f>CORREL(résultats!$Q7:$Q160,résultats!P7:P160)</f>
        <v>0.88665612571525432</v>
      </c>
      <c r="O15" s="73">
        <f>CORREL(résultats!$Q7:$Q160,résultats!Q7:Q160)</f>
        <v>0.99999999999999989</v>
      </c>
      <c r="P15" s="72">
        <f>CORREL(résultats!$Q7:$Q160,résultats!R7:R160)</f>
        <v>0.91610673066854864</v>
      </c>
      <c r="Q15" s="72">
        <f>CORREL(résultats!$Q7:$Q160,résultats!S7:S160)</f>
        <v>-0.50922804459286797</v>
      </c>
      <c r="R15" s="72">
        <f>CORREL(résultats!$Q7:$Q160,résultats!T7:T160)</f>
        <v>-0.7154505212409995</v>
      </c>
      <c r="S15" s="72">
        <f>CORREL(résultats!$Q7:$Q160,résultats!U7:U160)</f>
        <v>0.28137423655666949</v>
      </c>
      <c r="T15" s="72">
        <f>CORREL(résultats!$Q7:$Q160,résultats!V7:V160)</f>
        <v>0.31311464374019959</v>
      </c>
      <c r="U15" s="72">
        <f>CORREL(résultats!$Q7:$Q160,résultats!W7:W160)</f>
        <v>0.22944338957627655</v>
      </c>
      <c r="V15" s="72">
        <f>CORREL(résultats!$Q7:$Q160,résultats!X7:X160)</f>
        <v>0.55732210053205788</v>
      </c>
      <c r="W15" s="72">
        <f>CORREL(résultats!$Q7:$Q160,résultats!Y7:Y160)</f>
        <v>0.42888083357737949</v>
      </c>
      <c r="X15" s="72">
        <f>CORREL(résultats!$Q7:$Q160,résultats!Z7:Z160)</f>
        <v>0.84846786151809173</v>
      </c>
      <c r="Y15" s="72">
        <f>CORREL(résultats!$Q7:$Q160,résultats!AA7:AA160)</f>
        <v>0.70755030882997016</v>
      </c>
      <c r="Z15" s="72">
        <f>CORREL(résultats!$Q7:$Q160,résultats!AB7:AB160)</f>
        <v>0.33812765606352996</v>
      </c>
      <c r="AA15" s="72">
        <f>CORREL(résultats!$Q7:$Q160,résultats!AC7:AC160)</f>
        <v>-0.14763006059540715</v>
      </c>
      <c r="AB15" s="72">
        <f>CORREL(résultats!$Q7:$Q160,résultats!AD7:AD160)</f>
        <v>0.23076228685173192</v>
      </c>
    </row>
    <row r="16" spans="1:28" ht="15.75" thickBot="1">
      <c r="A16" s="117"/>
      <c r="B16" s="24" t="s">
        <v>48</v>
      </c>
      <c r="C16" s="75">
        <f>CORREL(résultats!$R7:$R160,résultats!E7:E160)</f>
        <v>-0.12676121067531801</v>
      </c>
      <c r="D16" s="75">
        <f>CORREL(résultats!$R7:$R160,résultats!F7:F160)</f>
        <v>0.26326500747467679</v>
      </c>
      <c r="E16" s="75">
        <f>CORREL(résultats!$R7:$R160,résultats!G7:G160)</f>
        <v>0.9183122169212119</v>
      </c>
      <c r="F16" s="115">
        <f>CORREL(résultats!$R7:$R160,résultats!H7:H160)</f>
        <v>0.99238533024118958</v>
      </c>
      <c r="G16" s="75">
        <f>CORREL(résultats!$R7:$R160,résultats!I7:I160)</f>
        <v>0.90308414561410644</v>
      </c>
      <c r="H16" s="115">
        <f>CORREL(résultats!$R7:$R160,résultats!J7:J160)</f>
        <v>0.996764064397056</v>
      </c>
      <c r="I16" s="75">
        <f>CORREL(résultats!$R7:$R160,résultats!K7:K160)</f>
        <v>-0.40839754209820939</v>
      </c>
      <c r="J16" s="75">
        <f>CORREL(résultats!$R7:$R160,résultats!L7:L160)</f>
        <v>-0.7159539478281437</v>
      </c>
      <c r="K16" s="75">
        <f>CORREL(résultats!$R7:$R160,résultats!M7:M160)</f>
        <v>0.92830985133611033</v>
      </c>
      <c r="L16" s="115">
        <f>CORREL(résultats!$R7:$R160,résultats!N7:N160)</f>
        <v>0.99172680334443175</v>
      </c>
      <c r="M16" s="75">
        <f>CORREL(résultats!$R7:$R160,résultats!O7:O160)</f>
        <v>0.88320506063357851</v>
      </c>
      <c r="N16" s="116">
        <f>CORREL(résultats!$R7:$R160,résultats!P7:P160)</f>
        <v>0.93453985687477514</v>
      </c>
      <c r="O16" s="75">
        <f>CORREL(résultats!$R7:$R160,résultats!Q7:Q160)</f>
        <v>0.91610673066854864</v>
      </c>
      <c r="P16" s="73">
        <f>CORREL(résultats!$R7:$R160,résultats!R7:R160)</f>
        <v>1</v>
      </c>
      <c r="Q16" s="75">
        <f>CORREL(résultats!$R7:$R160,résultats!S7:S160)</f>
        <v>-0.54292222390562672</v>
      </c>
      <c r="R16" s="162">
        <f>CORREL(résultats!$R7:$R160,résultats!T7:T160)</f>
        <v>-0.69741376578530734</v>
      </c>
      <c r="S16" s="75">
        <f>CORREL(résultats!$R7:$R160,résultats!U7:U160)</f>
        <v>0.47327895602321979</v>
      </c>
      <c r="T16" s="75">
        <f>CORREL(résultats!$R7:$R160,résultats!V7:V160)</f>
        <v>0.57453568172193725</v>
      </c>
      <c r="U16" s="75">
        <f>CORREL(résultats!$R7:$R160,résultats!W7:W160)</f>
        <v>0.22316569919577595</v>
      </c>
      <c r="V16" s="75">
        <f>CORREL(résultats!$R7:$R160,résultats!X7:X160)</f>
        <v>0.23333482165621422</v>
      </c>
      <c r="W16" s="75">
        <f>CORREL(résultats!$R7:$R160,résultats!Y7:Y160)</f>
        <v>8.7439675954014015E-2</v>
      </c>
      <c r="X16" s="75">
        <f>CORREL(résultats!$R7:$R160,résultats!Z7:Z160)</f>
        <v>0.90503668666427228</v>
      </c>
      <c r="Y16" s="75">
        <f>CORREL(résultats!$R7:$R160,résultats!AA7:AA160)</f>
        <v>0.74444146789812604</v>
      </c>
      <c r="Z16" s="75">
        <f>CORREL(résultats!$R7:$R160,résultats!AB7:AB160)</f>
        <v>0.3356395001626436</v>
      </c>
      <c r="AA16" s="75">
        <f>CORREL(résultats!$R7:$R160,résultats!AC7:AC160)</f>
        <v>-0.12029749661790778</v>
      </c>
      <c r="AB16" s="75">
        <f>CORREL(résultats!$R7:$R160,résultats!AD7:AD160)</f>
        <v>0.216396402527987</v>
      </c>
    </row>
    <row r="17" spans="1:28">
      <c r="A17" s="117"/>
      <c r="B17" s="97" t="s">
        <v>73</v>
      </c>
      <c r="C17" s="75">
        <f>CORREL(résultats!$S7:$S160,résultats!E7:E160)</f>
        <v>0.35982240556321243</v>
      </c>
      <c r="D17" s="75">
        <f>CORREL(résultats!$S7:$S160,résultats!F7:F160)</f>
        <v>0.14616604857774976</v>
      </c>
      <c r="E17" s="75">
        <f>CORREL(résultats!$S7:$S160,résultats!G7:G160)</f>
        <v>-0.55851019547873115</v>
      </c>
      <c r="F17" s="75">
        <f>CORREL(résultats!$S7:$S160,résultats!H7:H160)</f>
        <v>-0.59511741655896211</v>
      </c>
      <c r="G17" s="75">
        <f>CORREL(résultats!$S7:$S160,résultats!I7:I160)</f>
        <v>-0.50753833969763273</v>
      </c>
      <c r="H17" s="75">
        <f>CORREL(résultats!$S7:$S160,résultats!J7:J160)</f>
        <v>-0.53913165694699361</v>
      </c>
      <c r="I17" s="75">
        <f>CORREL(résultats!$S7:$S160,résultats!K7:K160)</f>
        <v>9.0108872693621583E-2</v>
      </c>
      <c r="J17" s="75">
        <f>CORREL(résultats!$S7:$S160,résultats!L7:L160)</f>
        <v>0.33218000934904685</v>
      </c>
      <c r="K17" s="75">
        <f>CORREL(résultats!$S7:$S160,résultats!M7:M160)</f>
        <v>-0.55695247564755646</v>
      </c>
      <c r="L17" s="75">
        <f>CORREL(résultats!$S7:$S160,résultats!N7:N160)</f>
        <v>-0.59172789388215241</v>
      </c>
      <c r="M17" s="75">
        <f>CORREL(résultats!$S7:$S160,résultats!O7:O160)</f>
        <v>-0.65576120613373523</v>
      </c>
      <c r="N17" s="75">
        <f>CORREL(résultats!$S7:$S160,résultats!P7:P160)</f>
        <v>-0.67318595474325171</v>
      </c>
      <c r="O17" s="75">
        <f>CORREL(résultats!$S7:$S160,résultats!Q7:Q160)</f>
        <v>-0.50922804459286797</v>
      </c>
      <c r="P17" s="75">
        <f>CORREL(résultats!$S7:$S160,résultats!R7:R160)</f>
        <v>-0.54292222390562672</v>
      </c>
      <c r="Q17" s="73">
        <f>CORREL(résultats!$S7:$S160,résultats!S7:S160)</f>
        <v>1</v>
      </c>
      <c r="R17" s="75">
        <f>CORREL(résultats!$S7:$S160,résultats!T7:T160)</f>
        <v>0.7426939620805515</v>
      </c>
      <c r="S17" s="75">
        <f>CORREL(résultats!$S7:$S160,résultats!U7:U160)</f>
        <v>6.5702902281794401E-2</v>
      </c>
      <c r="T17" s="75">
        <f>CORREL(résultats!$S7:$S160,résultats!V7:V160)</f>
        <v>-0.18245367429263398</v>
      </c>
      <c r="U17" s="75">
        <f>CORREL(résultats!$S7:$S160,résultats!W7:W160)</f>
        <v>-0.11980476993226347</v>
      </c>
      <c r="V17" s="75">
        <f>CORREL(résultats!$S7:$S160,résultats!X7:X160)</f>
        <v>-6.4488574669103113E-2</v>
      </c>
      <c r="W17" s="75">
        <f>CORREL(résultats!$S7:$S160,résultats!Y7:Y160)</f>
        <v>3.2285388379436092E-2</v>
      </c>
      <c r="X17" s="75">
        <f>CORREL(résultats!$S7:$S160,résultats!Z7:Z160)</f>
        <v>-0.55361862421777741</v>
      </c>
      <c r="Y17" s="75">
        <f>CORREL(résultats!$S7:$S160,résultats!AA7:AA160)</f>
        <v>-0.41248415373001168</v>
      </c>
      <c r="Z17" s="75">
        <f>CORREL(résultats!$S7:$S160,résultats!AB7:AB160)</f>
        <v>-0.43146662077347475</v>
      </c>
      <c r="AA17" s="75">
        <f>CORREL(résultats!$S7:$S160,résultats!AC7:AC160)</f>
        <v>0.20991490040461863</v>
      </c>
      <c r="AB17" s="75">
        <f>CORREL(résultats!$S7:$S160,résultats!AD7:AD160)</f>
        <v>-0.30872853666338612</v>
      </c>
    </row>
    <row r="18" spans="1:28">
      <c r="A18" s="117"/>
      <c r="B18" s="97" t="s">
        <v>74</v>
      </c>
      <c r="C18" s="75">
        <f>CORREL(résultats!$T7:$T160,résultats!E7:E160)</f>
        <v>0.29418738182472076</v>
      </c>
      <c r="D18" s="75">
        <f>CORREL(résultats!$T7:$T160,résultats!F7:F160)</f>
        <v>5.2138242484302974E-2</v>
      </c>
      <c r="E18" s="75">
        <f>CORREL(résultats!$T7:$T160,résultats!G7:G160)</f>
        <v>-0.76534829287620143</v>
      </c>
      <c r="F18" s="158">
        <f>CORREL(résultats!$T7:$T160,résultats!H7:H160)</f>
        <v>-0.760690550510846</v>
      </c>
      <c r="G18" s="75">
        <f>CORREL(résultats!$T7:$T160,résultats!I7:I160)</f>
        <v>-0.71615985936951898</v>
      </c>
      <c r="H18" s="158">
        <f>CORREL(résultats!$T7:$T160,résultats!J7:J160)</f>
        <v>-0.70500454244402477</v>
      </c>
      <c r="I18" s="75">
        <f>CORREL(résultats!$T7:$T160,résultats!K7:K160)</f>
        <v>9.8468238783014694E-2</v>
      </c>
      <c r="J18" s="75">
        <f>CORREL(résultats!$T7:$T160,résultats!L7:L160)</f>
        <v>0.31733396687413501</v>
      </c>
      <c r="K18" s="75">
        <f>CORREL(résultats!$T7:$T160,résultats!M7:M160)</f>
        <v>-0.76021091410435382</v>
      </c>
      <c r="L18" s="158">
        <f>CORREL(résultats!$T7:$T160,résultats!N7:N160)</f>
        <v>-0.7458206026610088</v>
      </c>
      <c r="M18" s="75">
        <f>CORREL(résultats!$T7:$T160,résultats!O7:O160)</f>
        <v>-0.87259770942660908</v>
      </c>
      <c r="N18" s="156">
        <f>CORREL(résultats!$T7:$T160,résultats!P7:P160)</f>
        <v>-0.86750573926799279</v>
      </c>
      <c r="O18" s="75">
        <f>CORREL(résultats!$T7:$T160,résultats!Q7:Q160)</f>
        <v>-0.7154505212409995</v>
      </c>
      <c r="P18" s="157">
        <f>CORREL(résultats!$T7:$T160,résultats!R7:R160)</f>
        <v>-0.69741376578530734</v>
      </c>
      <c r="Q18" s="75">
        <f>CORREL(résultats!$T7:$T160,résultats!S7:S160)</f>
        <v>0.7426939620805515</v>
      </c>
      <c r="R18" s="73">
        <f>CORREL(résultats!$T7:$T160,résultats!T7:T160)</f>
        <v>0.99999999999999978</v>
      </c>
      <c r="S18" s="75">
        <f>CORREL(résultats!$T7:$T160,résultats!U7:U160)</f>
        <v>0.13350752357258747</v>
      </c>
      <c r="T18" s="75">
        <f>CORREL(résultats!$T7:$T160,résultats!V7:V160)</f>
        <v>-0.14939551543758248</v>
      </c>
      <c r="U18" s="75">
        <f>CORREL(résultats!$T7:$T160,résultats!W7:W160)</f>
        <v>-0.13786948152390358</v>
      </c>
      <c r="V18" s="75">
        <f>CORREL(résultats!$T7:$T160,résultats!X7:X160)</f>
        <v>-0.22469348061885</v>
      </c>
      <c r="W18" s="75">
        <f>CORREL(résultats!$T7:$T160,résultats!Y7:Y160)</f>
        <v>-0.10430291187093203</v>
      </c>
      <c r="X18" s="75">
        <f>CORREL(résultats!$T7:$T160,résultats!Z7:Z160)</f>
        <v>-0.74904930134646219</v>
      </c>
      <c r="Y18" s="75">
        <f>CORREL(résultats!$T7:$T160,résultats!AA7:AA160)</f>
        <v>-0.5996175710702033</v>
      </c>
      <c r="Z18" s="75">
        <f>CORREL(résultats!$T7:$T160,résultats!AB7:AB160)</f>
        <v>-0.33937385626066807</v>
      </c>
      <c r="AA18" s="75">
        <f>CORREL(résultats!$T7:$T160,résultats!AC7:AC160)</f>
        <v>0.30984982335849698</v>
      </c>
      <c r="AB18" s="75">
        <f>CORREL(résultats!$T7:$T160,résultats!AD7:AD160)</f>
        <v>-0.30555242499828811</v>
      </c>
    </row>
    <row r="19" spans="1:28">
      <c r="A19" s="117"/>
      <c r="B19" s="98" t="s">
        <v>49</v>
      </c>
      <c r="C19" s="75">
        <f>CORREL(résultats!$U7:$U160,résultats!E7:E160)</f>
        <v>-0.11849687180683306</v>
      </c>
      <c r="D19" s="75">
        <f>CORREL(résultats!$U7:$U160,résultats!F7:F160)</f>
        <v>9.0459795204040822E-2</v>
      </c>
      <c r="E19" s="75">
        <f>CORREL(résultats!$U7:$U160,résultats!G7:G160)</f>
        <v>0.25207836942467238</v>
      </c>
      <c r="F19" s="75">
        <f>CORREL(résultats!$U7:$U160,résultats!H7:H160)</f>
        <v>0.40218264944117793</v>
      </c>
      <c r="G19" s="75">
        <f>CORREL(résultats!$U7:$U160,résultats!I7:I160)</f>
        <v>0.25107993735269141</v>
      </c>
      <c r="H19" s="75">
        <f>CORREL(résultats!$U7:$U160,résultats!J7:J160)</f>
        <v>0.4329642951213063</v>
      </c>
      <c r="I19" s="75">
        <f>CORREL(résultats!$U7:$U160,résultats!K7:K160)</f>
        <v>-0.54882847758073905</v>
      </c>
      <c r="J19" s="75">
        <f>CORREL(résultats!$U7:$U160,résultats!L7:L160)</f>
        <v>-0.77160188460866785</v>
      </c>
      <c r="K19" s="75">
        <f>CORREL(résultats!$U7:$U160,résultats!M7:M160)</f>
        <v>0.27940555734697797</v>
      </c>
      <c r="L19" s="75">
        <f>CORREL(résultats!$U7:$U160,résultats!N7:N160)</f>
        <v>0.44104554328381329</v>
      </c>
      <c r="M19" s="75">
        <f>CORREL(résultats!$U7:$U160,résultats!O7:O160)</f>
        <v>9.8089093838463454E-2</v>
      </c>
      <c r="N19" s="75">
        <f>CORREL(résultats!$U7:$U160,résultats!P7:P160)</f>
        <v>0.18019454806884871</v>
      </c>
      <c r="O19" s="75">
        <f>CORREL(résultats!$U7:$U160,résultats!Q7:Q160)</f>
        <v>0.28137423655666949</v>
      </c>
      <c r="P19" s="75">
        <f>CORREL(résultats!$U7:$U160,résultats!R7:R160)</f>
        <v>0.47327895602321979</v>
      </c>
      <c r="Q19" s="75">
        <f>CORREL(résultats!$U7:$U160,résultats!S7:S160)</f>
        <v>6.5702902281794401E-2</v>
      </c>
      <c r="R19" s="75">
        <f>CORREL(résultats!$U7:$U160,résultats!T7:T160)</f>
        <v>0.13350752357258747</v>
      </c>
      <c r="S19" s="73">
        <f>CORREL(résultats!$U7:$U160,résultats!U7:U160)</f>
        <v>1.0000000000000002</v>
      </c>
      <c r="T19" s="75">
        <f>CORREL(résultats!$U7:$U160,résultats!V7:V160)</f>
        <v>0.83887573885584132</v>
      </c>
      <c r="U19" s="75">
        <f>CORREL(résultats!$U7:$U160,résultats!W7:W160)</f>
        <v>9.80223220988828E-2</v>
      </c>
      <c r="V19" s="75">
        <f>CORREL(résultats!$U7:$U160,résultats!X7:X160)</f>
        <v>-0.26165308224062722</v>
      </c>
      <c r="W19" s="75">
        <f>CORREL(résultats!$U7:$U160,résultats!Y7:Y160)</f>
        <v>-0.30329471310166456</v>
      </c>
      <c r="X19" s="75">
        <f>CORREL(résultats!$U7:$U160,résultats!Z7:Z160)</f>
        <v>0.22121202849605029</v>
      </c>
      <c r="Y19" s="75">
        <f>CORREL(résultats!$U7:$U160,résultats!AA7:AA160)</f>
        <v>0.39582597350060361</v>
      </c>
      <c r="Z19" s="75">
        <f>CORREL(résultats!$U7:$U160,résultats!AB7:AB160)</f>
        <v>5.8150928481206836E-2</v>
      </c>
      <c r="AA19" s="75">
        <f>CORREL(résultats!$U7:$U160,résultats!AC7:AC160)</f>
        <v>7.0694016379530544E-2</v>
      </c>
      <c r="AB19" s="75">
        <f>CORREL(résultats!$U7:$U160,résultats!AD7:AD160)</f>
        <v>-0.13892046865412822</v>
      </c>
    </row>
    <row r="20" spans="1:28">
      <c r="A20" s="117"/>
      <c r="B20" s="98" t="s">
        <v>50</v>
      </c>
      <c r="C20" s="75">
        <f>CORREL(résultats!$V7:$V160,résultats!E7:E160)</f>
        <v>-0.43228402770646313</v>
      </c>
      <c r="D20" s="75">
        <f>CORREL(résultats!$V7:$V160,résultats!F7:F160)</f>
        <v>-0.17802513589723715</v>
      </c>
      <c r="E20" s="75">
        <f>CORREL(résultats!$V7:$V160,résultats!G7:G160)</f>
        <v>0.31833814543043637</v>
      </c>
      <c r="F20" s="75">
        <f>CORREL(résultats!$V7:$V160,résultats!H7:H160)</f>
        <v>0.53738895668036391</v>
      </c>
      <c r="G20" s="75">
        <f>CORREL(résultats!$V7:$V160,résultats!I7:I160)</f>
        <v>0.28183006406772337</v>
      </c>
      <c r="H20" s="75">
        <f>CORREL(résultats!$V7:$V160,résultats!J7:J160)</f>
        <v>0.52215263297447279</v>
      </c>
      <c r="I20" s="75">
        <f>CORREL(résultats!$V7:$V160,résultats!K7:K160)</f>
        <v>-0.54692287731448108</v>
      </c>
      <c r="J20" s="75">
        <f>CORREL(résultats!$V7:$V160,résultats!L7:L160)</f>
        <v>-0.88712333257615095</v>
      </c>
      <c r="K20" s="75">
        <f>CORREL(résultats!$V7:$V160,résultats!M7:M160)</f>
        <v>0.34529579426567436</v>
      </c>
      <c r="L20" s="75">
        <f>CORREL(résultats!$V7:$V160,résultats!N7:N160)</f>
        <v>0.58360312823208482</v>
      </c>
      <c r="M20" s="75">
        <f>CORREL(résultats!$V7:$V160,résultats!O7:O160)</f>
        <v>0.24853503183224654</v>
      </c>
      <c r="N20" s="75">
        <f>CORREL(résultats!$V7:$V160,résultats!P7:P160)</f>
        <v>0.3948273717040493</v>
      </c>
      <c r="O20" s="75">
        <f>CORREL(résultats!$V7:$V160,résultats!Q7:Q160)</f>
        <v>0.31311464374019959</v>
      </c>
      <c r="P20" s="75">
        <f>CORREL(résultats!$V7:$V160,résultats!R7:R160)</f>
        <v>0.57453568172193725</v>
      </c>
      <c r="Q20" s="75">
        <f>CORREL(résultats!$V7:$V160,résultats!S7:S160)</f>
        <v>-0.18245367429263398</v>
      </c>
      <c r="R20" s="75">
        <f>CORREL(résultats!$V7:$V160,résultats!T7:T160)</f>
        <v>-0.14939551543758248</v>
      </c>
      <c r="S20" s="75">
        <f>CORREL(résultats!$V7:$V160,résultats!U7:U160)</f>
        <v>0.83887573885584132</v>
      </c>
      <c r="T20" s="73">
        <f>CORREL(résultats!$V7:$V160,résultats!V7:V160)</f>
        <v>0.99999999999999989</v>
      </c>
      <c r="U20" s="75">
        <f>CORREL(résultats!$V7:$V160,résultats!W7:W160)</f>
        <v>8.4819287400905705E-2</v>
      </c>
      <c r="V20" s="75">
        <f>CORREL(résultats!$V7:$V160,résultats!X7:X160)</f>
        <v>-0.41297714193916385</v>
      </c>
      <c r="W20" s="75">
        <f>CORREL(résultats!$V7:$V160,résultats!Y7:Y160)</f>
        <v>-0.48193213441558669</v>
      </c>
      <c r="X20" s="75">
        <f>CORREL(résultats!$V7:$V160,résultats!Z7:Z160)</f>
        <v>0.3578604668715894</v>
      </c>
      <c r="Y20" s="75">
        <f>CORREL(résultats!$V7:$V160,résultats!AA7:AA160)</f>
        <v>0.56010646145763709</v>
      </c>
      <c r="Z20" s="75">
        <f>CORREL(résultats!$V7:$V160,résultats!AB7:AB160)</f>
        <v>0.2478253981402862</v>
      </c>
      <c r="AA20" s="75">
        <f>CORREL(résultats!$V7:$V160,résultats!AC7:AC160)</f>
        <v>0.16963288310328209</v>
      </c>
      <c r="AB20" s="75">
        <f>CORREL(résultats!$V7:$V160,résultats!AD7:AD160)</f>
        <v>0.12397648022680122</v>
      </c>
    </row>
    <row r="21" spans="1:28">
      <c r="A21" s="117"/>
      <c r="B21" s="98" t="s">
        <v>42</v>
      </c>
      <c r="C21" s="75">
        <f>CORREL(résultats!$W7:$W160,résultats!E7:E160)</f>
        <v>-4.7768708021015224E-2</v>
      </c>
      <c r="D21" s="75">
        <f>CORREL(résultats!$W7:$W160,résultats!F7:F160)</f>
        <v>4.7275218793554535E-2</v>
      </c>
      <c r="E21" s="75">
        <f>CORREL(résultats!$W7:$W160,résultats!G7:G160)</f>
        <v>0.22507380007797104</v>
      </c>
      <c r="F21" s="75">
        <f>CORREL(résultats!$W7:$W160,résultats!H7:H160)</f>
        <v>0.22178000275418328</v>
      </c>
      <c r="G21" s="75">
        <f>CORREL(résultats!$W7:$W160,résultats!I7:I160)</f>
        <v>0.22677534590523116</v>
      </c>
      <c r="H21" s="75">
        <f>CORREL(résultats!$W7:$W160,résultats!J7:J160)</f>
        <v>0.22141951970898988</v>
      </c>
      <c r="I21" s="75">
        <f>CORREL(résultats!$W7:$W160,résultats!K7:K160)</f>
        <v>0.65636932885848076</v>
      </c>
      <c r="J21" s="75">
        <f>CORREL(résultats!$W7:$W160,résultats!L7:L160)</f>
        <v>-0.16155493281338579</v>
      </c>
      <c r="K21" s="75">
        <f>CORREL(résultats!$W7:$W160,résultats!M7:M160)</f>
        <v>0.22703741224055277</v>
      </c>
      <c r="L21" s="75">
        <f>CORREL(résultats!$W7:$W160,résultats!N7:N160)</f>
        <v>0.22170256306165517</v>
      </c>
      <c r="M21" s="75">
        <f>CORREL(résultats!$W7:$W160,résultats!O7:O160)</f>
        <v>0.22243253903752613</v>
      </c>
      <c r="N21" s="75">
        <f>CORREL(résultats!$W7:$W160,résultats!P7:P160)</f>
        <v>0.2065964090560605</v>
      </c>
      <c r="O21" s="75">
        <f>CORREL(résultats!$W7:$W160,résultats!Q7:Q160)</f>
        <v>0.22944338957627655</v>
      </c>
      <c r="P21" s="75">
        <f>CORREL(résultats!$W7:$W160,résultats!R7:R160)</f>
        <v>0.22316569919577595</v>
      </c>
      <c r="Q21" s="75">
        <f>CORREL(résultats!$W7:$W160,résultats!S7:S160)</f>
        <v>-0.11980476993226347</v>
      </c>
      <c r="R21" s="75">
        <f>CORREL(résultats!$W7:$W160,résultats!T7:T160)</f>
        <v>-0.13786948152390358</v>
      </c>
      <c r="S21" s="75">
        <f>CORREL(résultats!$W7:$W160,résultats!U7:U160)</f>
        <v>9.80223220988828E-2</v>
      </c>
      <c r="T21" s="75">
        <f>CORREL(résultats!$W7:$W160,résultats!V7:V160)</f>
        <v>8.4819287400905705E-2</v>
      </c>
      <c r="U21" s="73">
        <f>CORREL(résultats!$W7:$W160,résultats!W7:W160)</f>
        <v>1</v>
      </c>
      <c r="V21" s="75">
        <f>CORREL(résultats!$W7:$W160,résultats!X7:X160)</f>
        <v>6.1294806296008655E-2</v>
      </c>
      <c r="W21" s="75">
        <f>CORREL(résultats!$W7:$W160,résultats!Y7:Y160)</f>
        <v>1.0810462247176874E-2</v>
      </c>
      <c r="X21" s="75">
        <f>CORREL(résultats!$W7:$W160,résultats!Z7:Z160)</f>
        <v>0.26168346072830184</v>
      </c>
      <c r="Y21" s="75">
        <f>CORREL(résultats!$W7:$W160,résultats!AA7:AA160)</f>
        <v>-2.8429880115698365E-3</v>
      </c>
      <c r="Z21" s="75">
        <f>CORREL(résultats!$W7:$W160,résultats!AB7:AB160)</f>
        <v>2.7111061423135078E-2</v>
      </c>
      <c r="AA21" s="75">
        <f>CORREL(résultats!$W7:$W160,résultats!AC7:AC160)</f>
        <v>-2.1888602891545313E-2</v>
      </c>
      <c r="AB21" s="75">
        <f>CORREL(résultats!$W7:$W160,résultats!AD7:AD160)</f>
        <v>0.12296192814140626</v>
      </c>
    </row>
    <row r="22" spans="1:28">
      <c r="A22" s="117"/>
      <c r="B22" s="99" t="s">
        <v>44</v>
      </c>
      <c r="C22" s="100">
        <f>CORREL(résultats!$X7:$X160,résultats!E7:E160)</f>
        <v>0.80050226341511388</v>
      </c>
      <c r="D22" s="100">
        <f>CORREL(résultats!$X7:$X160,résultats!F7:F160)</f>
        <v>0.87138282926522082</v>
      </c>
      <c r="E22" s="100">
        <f>CORREL(résultats!$X7:$X160,résultats!G7:G160)</f>
        <v>0.52554180944242646</v>
      </c>
      <c r="F22" s="100">
        <f>CORREL(résultats!$X7:$X160,résultats!H7:H160)</f>
        <v>0.23568604858669334</v>
      </c>
      <c r="G22" s="100">
        <f>CORREL(résultats!$X7:$X160,résultats!I7:I160)</f>
        <v>0.58217604042680648</v>
      </c>
      <c r="H22" s="100">
        <f>CORREL(résultats!$X7:$X160,résultats!J7:J160)</f>
        <v>0.30873119531005011</v>
      </c>
      <c r="I22" s="100">
        <f>CORREL(résultats!$X7:$X160,résultats!K7:K160)</f>
        <v>0.11958166635502643</v>
      </c>
      <c r="J22" s="100">
        <f>CORREL(résultats!$X7:$X160,résultats!L7:L160)</f>
        <v>0.4588922490201367</v>
      </c>
      <c r="K22" s="100">
        <f>CORREL(résultats!$X7:$X160,résultats!M7:M160)</f>
        <v>0.50477604519783792</v>
      </c>
      <c r="L22" s="100">
        <f>CORREL(résultats!$X7:$X160,résultats!N7:N160)</f>
        <v>0.16994422404513501</v>
      </c>
      <c r="M22" s="100">
        <f>CORREL(résultats!$X7:$X160,résultats!O7:O160)</f>
        <v>0.45821529618109669</v>
      </c>
      <c r="N22" s="100">
        <f>CORREL(résultats!$X7:$X160,résultats!P7:P160)</f>
        <v>0.27042815560730976</v>
      </c>
      <c r="O22" s="100">
        <f>CORREL(résultats!$X7:$X160,résultats!Q7:Q160)</f>
        <v>0.55732210053205788</v>
      </c>
      <c r="P22" s="100">
        <f>CORREL(résultats!$X7:$X160,résultats!R7:R160)</f>
        <v>0.23333482165621422</v>
      </c>
      <c r="Q22" s="100">
        <f>CORREL(résultats!$X7:$X160,résultats!S7:S160)</f>
        <v>-6.4488574669103113E-2</v>
      </c>
      <c r="R22" s="100">
        <f>CORREL(résultats!$X7:$X160,résultats!T7:T160)</f>
        <v>-0.22469348061885</v>
      </c>
      <c r="S22" s="100">
        <f>CORREL(résultats!$X7:$X160,résultats!U7:U160)</f>
        <v>-0.26165308224062722</v>
      </c>
      <c r="T22" s="100">
        <f>CORREL(résultats!$X7:$X160,résultats!V7:V160)</f>
        <v>-0.41297714193916385</v>
      </c>
      <c r="U22" s="100">
        <f>CORREL(résultats!$X7:$X160,résultats!W7:W160)</f>
        <v>6.1294806296008655E-2</v>
      </c>
      <c r="V22" s="101">
        <f>CORREL(résultats!$X7:$X160,résultats!X7:X160)</f>
        <v>1</v>
      </c>
      <c r="W22" s="100">
        <f>CORREL(résultats!$X7:$X160,résultats!Y7:Y160)</f>
        <v>0.98561368965707519</v>
      </c>
      <c r="X22" s="100">
        <f>CORREL(résultats!$X7:$X160,résultats!Z7:Z160)</f>
        <v>0.30493214560111576</v>
      </c>
      <c r="Y22" s="100">
        <f>CORREL(résultats!$X7:$X160,résultats!AA7:AA160)</f>
        <v>0.17842956705159327</v>
      </c>
      <c r="Z22" s="100">
        <f>CORREL(résultats!$X7:$X160,résultats!AB7:AB160)</f>
        <v>0.34662542867639368</v>
      </c>
      <c r="AA22" s="100">
        <f>CORREL(résultats!$X7:$X160,résultats!AC7:AC160)</f>
        <v>-0.13700189776844143</v>
      </c>
      <c r="AB22" s="100">
        <f>CORREL(résultats!$X7:$X160,résultats!AD7:AD160)</f>
        <v>0.29588906169525159</v>
      </c>
    </row>
    <row r="23" spans="1:28" ht="15.75" thickBot="1">
      <c r="A23" s="117"/>
      <c r="B23" s="102" t="s">
        <v>43</v>
      </c>
      <c r="C23" s="100">
        <f>CORREL(résultats!$Y7:$Y160,résultats!E7:E160)</f>
        <v>0.86329693866376556</v>
      </c>
      <c r="D23" s="100">
        <f>CORREL(résultats!$Y7:$Y160,résultats!F7:F160)</f>
        <v>0.87661186079972675</v>
      </c>
      <c r="E23" s="100">
        <f>CORREL(résultats!$Y7:$Y160,résultats!G7:G160)</f>
        <v>0.3948133936075986</v>
      </c>
      <c r="F23" s="100">
        <f>CORREL(résultats!$Y7:$Y160,résultats!H7:H160)</f>
        <v>8.6818086203440004E-2</v>
      </c>
      <c r="G23" s="100">
        <f>CORREL(résultats!$Y7:$Y160,résultats!I7:I160)</f>
        <v>0.455593192475366</v>
      </c>
      <c r="H23" s="100">
        <f>CORREL(résultats!$Y7:$Y160,résultats!J7:J160)</f>
        <v>0.16461770206298137</v>
      </c>
      <c r="I23" s="100">
        <f>CORREL(résultats!$Y7:$Y160,résultats!K7:K160)</f>
        <v>0.15001457512291819</v>
      </c>
      <c r="J23" s="100">
        <f>CORREL(résultats!$Y7:$Y160,résultats!L7:L160)</f>
        <v>0.56972473221923126</v>
      </c>
      <c r="K23" s="100">
        <f>CORREL(résultats!$Y7:$Y160,résultats!M7:M160)</f>
        <v>0.37285838855317249</v>
      </c>
      <c r="L23" s="100">
        <f>CORREL(résultats!$Y7:$Y160,résultats!N7:N160)</f>
        <v>2.037560079205155E-2</v>
      </c>
      <c r="M23" s="100">
        <f>CORREL(résultats!$Y7:$Y160,résultats!O7:O160)</f>
        <v>0.31890030650432061</v>
      </c>
      <c r="N23" s="100">
        <f>CORREL(résultats!$Y7:$Y160,résultats!P7:P160)</f>
        <v>0.11808438797433872</v>
      </c>
      <c r="O23" s="100">
        <f>CORREL(résultats!$Y7:$Y160,résultats!Q7:Q160)</f>
        <v>0.42888083357737949</v>
      </c>
      <c r="P23" s="100">
        <f>CORREL(résultats!$Y7:$Y160,résultats!R7:R160)</f>
        <v>8.7439675954014015E-2</v>
      </c>
      <c r="Q23" s="100">
        <f>CORREL(résultats!$Y7:$Y160,résultats!S7:S160)</f>
        <v>3.2285388379436092E-2</v>
      </c>
      <c r="R23" s="100">
        <f>CORREL(résultats!$Y7:$Y160,résultats!T7:T160)</f>
        <v>-0.10430291187093203</v>
      </c>
      <c r="S23" s="100">
        <f>CORREL(résultats!$Y7:$Y160,résultats!U7:U160)</f>
        <v>-0.30329471310166456</v>
      </c>
      <c r="T23" s="100">
        <f>CORREL(résultats!$Y7:$Y160,résultats!V7:V160)</f>
        <v>-0.48193213441558669</v>
      </c>
      <c r="U23" s="100">
        <f>CORREL(résultats!$Y7:$Y160,résultats!W7:W160)</f>
        <v>1.0810462247176874E-2</v>
      </c>
      <c r="V23" s="100">
        <f>CORREL(résultats!$Y7:$Y160,résultats!X7:X160)</f>
        <v>0.98561368965707519</v>
      </c>
      <c r="W23" s="101">
        <f>CORREL(résultats!$Y7:$Y160,résultats!Y7:Y160)</f>
        <v>0.99999999999999989</v>
      </c>
      <c r="X23" s="100">
        <f>CORREL(résultats!$Y7:$Y160,résultats!Z7:Z160)</f>
        <v>0.15234545058843518</v>
      </c>
      <c r="Y23" s="100">
        <f>CORREL(résultats!$Y7:$Y160,résultats!AA7:AA160)</f>
        <v>8.3401300569229161E-2</v>
      </c>
      <c r="Z23" s="100">
        <f>CORREL(résultats!$Y7:$Y160,résultats!AB7:AB160)</f>
        <v>0.41575129655589749</v>
      </c>
      <c r="AA23" s="100">
        <f>CORREL(résultats!$Y7:$Y160,résultats!AC7:AC160)</f>
        <v>-0.16405790837006584</v>
      </c>
      <c r="AB23" s="100">
        <f>CORREL(résultats!$Y7:$Y160,résultats!AD7:AD160)</f>
        <v>0.27872169307080363</v>
      </c>
    </row>
    <row r="24" spans="1:28" ht="15.75" thickBot="1">
      <c r="A24" s="121"/>
      <c r="B24" s="103" t="s">
        <v>5</v>
      </c>
      <c r="C24" s="104">
        <f>CORREL(résultats!$Z7:$Z160,résultats!E7:E160)</f>
        <v>-0.14480073028871054</v>
      </c>
      <c r="D24" s="104">
        <f>CORREL(résultats!$Z7:$Z160,résultats!F7:F160)</f>
        <v>0.19980712705067125</v>
      </c>
      <c r="E24" s="111">
        <f>CORREL(résultats!$Z7:$Z160,résultats!G7:G160)</f>
        <v>0.87264463378297219</v>
      </c>
      <c r="F24" s="113">
        <f>CORREL(résultats!$Z7:$Z160,résultats!H7:H160)</f>
        <v>0.92096332523589375</v>
      </c>
      <c r="G24" s="111">
        <f>CORREL(résultats!$Z7:$Z160,résultats!I7:I160)</f>
        <v>0.84148741700076946</v>
      </c>
      <c r="H24" s="113">
        <f>CORREL(résultats!$Z7:$Z160,résultats!J7:J160)</f>
        <v>0.91193451538859494</v>
      </c>
      <c r="I24" s="104">
        <f>CORREL(résultats!$Z7:$Z160,résultats!K7:K160)</f>
        <v>-0.20026281420508249</v>
      </c>
      <c r="J24" s="104">
        <f>CORREL(résultats!$Z7:$Z160,résultats!L7:L160)</f>
        <v>-0.52904431677896313</v>
      </c>
      <c r="K24" s="111">
        <f>CORREL(résultats!$Z7:$Z160,résultats!M7:M160)</f>
        <v>0.87644920630147805</v>
      </c>
      <c r="L24" s="113">
        <f>CORREL(résultats!$Z7:$Z160,résultats!N7:N160)</f>
        <v>0.90953434296320557</v>
      </c>
      <c r="M24" s="111">
        <f>CORREL(résultats!$Z7:$Z160,résultats!O7:O160)</f>
        <v>0.87764194490695202</v>
      </c>
      <c r="N24" s="164">
        <f>CORREL(résultats!$Z7:$Z160,résultats!P7:P160)</f>
        <v>0.93756198440010086</v>
      </c>
      <c r="O24" s="111">
        <f>CORREL(résultats!$Z7:$Z160,résultats!Q7:Q160)</f>
        <v>0.84846786151809173</v>
      </c>
      <c r="P24" s="164">
        <f>CORREL(résultats!$Z7:$Z160,résultats!R7:R160)</f>
        <v>0.90503668666427228</v>
      </c>
      <c r="Q24" s="104">
        <f>CORREL(résultats!$Z7:$Z160,résultats!S7:S160)</f>
        <v>-0.55361862421777741</v>
      </c>
      <c r="R24" s="163">
        <f>CORREL(résultats!$Z7:$Z160,résultats!T7:T160)</f>
        <v>-0.74904930134646219</v>
      </c>
      <c r="S24" s="104">
        <f>CORREL(résultats!$Z7:$Z160,résultats!U7:U160)</f>
        <v>0.22121202849605029</v>
      </c>
      <c r="T24" s="104">
        <f>CORREL(résultats!$Z7:$Z160,résultats!V7:V160)</f>
        <v>0.3578604668715894</v>
      </c>
      <c r="U24" s="104">
        <f>CORREL(résultats!$Z7:$Z160,résultats!W7:W160)</f>
        <v>0.26168346072830184</v>
      </c>
      <c r="V24" s="104">
        <f>CORREL(résultats!$Z7:$Z160,résultats!X7:X160)</f>
        <v>0.30493214560111576</v>
      </c>
      <c r="W24" s="104">
        <f>CORREL(résultats!$Z7:$Z160,résultats!Y7:Y160)</f>
        <v>0.15234545058843518</v>
      </c>
      <c r="X24" s="105">
        <f>CORREL(résultats!$Z7:$Z160,résultats!Z7:Z160)</f>
        <v>1</v>
      </c>
      <c r="Y24" s="104">
        <f>CORREL(résultats!$Z7:$Z160,résultats!AA7:AA160)</f>
        <v>0.42200148209794236</v>
      </c>
      <c r="Z24" s="104">
        <f>CORREL(résultats!$Z7:$Z160,résultats!AB7:AB160)</f>
        <v>-5.0761676324704817E-2</v>
      </c>
      <c r="AA24" s="104">
        <f>CORREL(résultats!$Z7:$Z160,résultats!AC7:AC160)</f>
        <v>-5.4917362751115084E-2</v>
      </c>
      <c r="AB24" s="106">
        <f>CORREL(résultats!$Z7:$Z160,résultats!AD7:AD160)</f>
        <v>-0.56851417067757137</v>
      </c>
    </row>
    <row r="25" spans="1:28" ht="15.75" thickBot="1">
      <c r="A25" s="121"/>
      <c r="B25" s="107" t="s">
        <v>6</v>
      </c>
      <c r="C25" s="108">
        <f>CORREL(résultats!$AA7:$AA160,résultats!E7:E160)</f>
        <v>-8.5338347346222157E-2</v>
      </c>
      <c r="D25" s="108">
        <f>CORREL(résultats!$AA7:$AA160,résultats!F7:F160)</f>
        <v>0.18687521981282404</v>
      </c>
      <c r="E25" s="112">
        <f>CORREL(résultats!$AA7:$AA160,résultats!G7:G160)</f>
        <v>0.72012117654833852</v>
      </c>
      <c r="F25" s="112">
        <f>CORREL(résultats!$AA7:$AA160,résultats!H7:H160)</f>
        <v>0.74596061045117168</v>
      </c>
      <c r="G25" s="114">
        <f>CORREL(résultats!$AA7:$AA160,résultats!I7:I160)</f>
        <v>0.69513814800830764</v>
      </c>
      <c r="H25" s="112">
        <f>CORREL(résultats!$AA7:$AA160,résultats!J7:J160)</f>
        <v>0.73881334421140976</v>
      </c>
      <c r="I25" s="108">
        <f>CORREL(résultats!$AA7:$AA160,résultats!K7:K160)</f>
        <v>-0.48733335848507225</v>
      </c>
      <c r="J25" s="108">
        <f>CORREL(résultats!$AA7:$AA160,résultats!L7:L160)</f>
        <v>-0.5389385582491556</v>
      </c>
      <c r="K25" s="112">
        <f>CORREL(résultats!$AA7:$AA160,résultats!M7:M160)</f>
        <v>0.73023361345042936</v>
      </c>
      <c r="L25" s="112">
        <f>CORREL(résultats!$AA7:$AA160,résultats!N7:N160)</f>
        <v>0.74732015562144782</v>
      </c>
      <c r="M25" s="114">
        <f>CORREL(résultats!$AA7:$AA160,résultats!O7:O160)</f>
        <v>0.69789191953991092</v>
      </c>
      <c r="N25" s="114">
        <f>CORREL(résultats!$AA7:$AA160,résultats!P7:P160)</f>
        <v>0.68820223717184881</v>
      </c>
      <c r="O25" s="112">
        <f>CORREL(résultats!$AA7:$AA160,résultats!Q7:Q160)</f>
        <v>0.70755030882997016</v>
      </c>
      <c r="P25" s="112">
        <f>CORREL(résultats!$AA7:$AA160,résultats!R7:R160)</f>
        <v>0.74444146789812604</v>
      </c>
      <c r="Q25" s="108">
        <f>CORREL(résultats!$AA7:$AA160,résultats!S7:S160)</f>
        <v>-0.41248415373001168</v>
      </c>
      <c r="R25" s="108">
        <f>CORREL(résultats!$AA7:$AA160,résultats!T7:T160)</f>
        <v>-0.5996175710702033</v>
      </c>
      <c r="S25" s="108">
        <f>CORREL(résultats!$AA7:$AA160,résultats!U7:U160)</f>
        <v>0.39582597350060361</v>
      </c>
      <c r="T25" s="108">
        <f>CORREL(résultats!$AA7:$AA160,résultats!V7:V160)</f>
        <v>0.56010646145763709</v>
      </c>
      <c r="U25" s="108">
        <f>CORREL(résultats!$AA7:$AA160,résultats!W7:W160)</f>
        <v>-2.8429880115698365E-3</v>
      </c>
      <c r="V25" s="108">
        <f>CORREL(résultats!$AA7:$AA160,résultats!X7:X160)</f>
        <v>0.17842956705159327</v>
      </c>
      <c r="W25" s="108">
        <f>CORREL(résultats!$AA7:$AA160,résultats!Y7:Y160)</f>
        <v>8.3401300569229161E-2</v>
      </c>
      <c r="X25" s="108">
        <f>CORREL(résultats!$AA7:$AA160,résultats!Z7:Z160)</f>
        <v>0.42200148209794236</v>
      </c>
      <c r="Y25" s="109">
        <f>CORREL(résultats!$AA7:$AA160,résultats!AA7:AA160)</f>
        <v>1.0000000000000002</v>
      </c>
      <c r="Z25" s="108">
        <f>CORREL(résultats!$AA7:$AA160,résultats!AB7:AB160)</f>
        <v>0.29324709005848976</v>
      </c>
      <c r="AA25" s="108">
        <f>CORREL(résultats!$AA7:$AA160,résultats!AC7:AC160)</f>
        <v>-0.20632882703402103</v>
      </c>
      <c r="AB25" s="110">
        <f>CORREL(résultats!$AA7:$AA160,résultats!AD7:AD160)</f>
        <v>-4.3222728697431052E-2</v>
      </c>
    </row>
    <row r="26" spans="1:28">
      <c r="A26" s="117"/>
      <c r="B26" s="24" t="s">
        <v>20</v>
      </c>
      <c r="C26" s="75">
        <f>CORREL(résultats!$AB7:$AB160,résultats!E7:E160)</f>
        <v>3.5754378523925108E-2</v>
      </c>
      <c r="D26" s="75">
        <f>CORREL(résultats!$AB7:$AB160,résultats!F7:F160)</f>
        <v>0.29175504271006675</v>
      </c>
      <c r="E26" s="75">
        <f>CORREL(résultats!$AB7:$AB160,résultats!G7:G160)</f>
        <v>0.34628211209004028</v>
      </c>
      <c r="F26" s="75">
        <f>CORREL(résultats!$AB7:$AB160,résultats!H7:H160)</f>
        <v>0.34535238389182105</v>
      </c>
      <c r="G26" s="75">
        <f>CORREL(résultats!$AB7:$AB160,résultats!I7:I160)</f>
        <v>0.34485803297725276</v>
      </c>
      <c r="H26" s="75">
        <f>CORREL(résultats!$AB7:$AB160,résultats!J7:J160)</f>
        <v>0.33705393570243991</v>
      </c>
      <c r="I26" s="75">
        <f>CORREL(résultats!$AB7:$AB160,résultats!K7:K160)</f>
        <v>-0.1236852263960314</v>
      </c>
      <c r="J26" s="75">
        <f>CORREL(résultats!$AB7:$AB160,résultats!L7:L160)</f>
        <v>-0.22818151833479192</v>
      </c>
      <c r="K26" s="75">
        <f>CORREL(résultats!$AB7:$AB160,résultats!M7:M160)</f>
        <v>0.34576014249009235</v>
      </c>
      <c r="L26" s="75">
        <f>CORREL(résultats!$AB7:$AB160,résultats!N7:N160)</f>
        <v>0.34359050931752844</v>
      </c>
      <c r="M26" s="75">
        <f>CORREL(résultats!$AB7:$AB160,résultats!O7:O160)</f>
        <v>0.35983809464703675</v>
      </c>
      <c r="N26" s="75">
        <f>CORREL(résultats!$AB7:$AB160,résultats!P7:P160)</f>
        <v>0.34604557413983261</v>
      </c>
      <c r="O26" s="75">
        <f>CORREL(résultats!$AB7:$AB160,résultats!Q7:Q160)</f>
        <v>0.33812765606352996</v>
      </c>
      <c r="P26" s="75">
        <f>CORREL(résultats!$AB7:$AB160,résultats!R7:R160)</f>
        <v>0.3356395001626436</v>
      </c>
      <c r="Q26" s="75">
        <f>CORREL(résultats!$AB7:$AB160,résultats!S7:S160)</f>
        <v>-0.43146662077347475</v>
      </c>
      <c r="R26" s="75">
        <f>CORREL(résultats!$AB7:$AB160,résultats!T7:T160)</f>
        <v>-0.33937385626066807</v>
      </c>
      <c r="S26" s="75">
        <f>CORREL(résultats!$AB7:$AB160,résultats!U7:U160)</f>
        <v>5.8150928481206836E-2</v>
      </c>
      <c r="T26" s="75">
        <f>CORREL(résultats!$AB7:$AB160,résultats!V7:V160)</f>
        <v>0.2478253981402862</v>
      </c>
      <c r="U26" s="75">
        <f>CORREL(résultats!$AB7:$AB160,résultats!W7:W160)</f>
        <v>2.7111061423135078E-2</v>
      </c>
      <c r="V26" s="75">
        <f>CORREL(résultats!$AB7:$AB160,résultats!X7:X160)</f>
        <v>0.34662542867639368</v>
      </c>
      <c r="W26" s="75">
        <f>CORREL(résultats!$AB7:$AB160,résultats!Y7:Y160)</f>
        <v>0.41575129655589749</v>
      </c>
      <c r="X26" s="75">
        <f>CORREL(résultats!$AB7:$AB160,résultats!Z7:Z160)</f>
        <v>-5.0761676324704817E-2</v>
      </c>
      <c r="Y26" s="75">
        <f>CORREL(résultats!$AB7:$AB160,résultats!AA7:AA160)</f>
        <v>0.29324709005848976</v>
      </c>
      <c r="Z26" s="73">
        <f>CORREL(résultats!$AB7:$AB160,résultats!AB7:AB160)</f>
        <v>1.0000000000000002</v>
      </c>
      <c r="AA26" s="75">
        <f>CORREL(résultats!$AB7:$AB160,résultats!AC7:AC160)</f>
        <v>0.10587970261206994</v>
      </c>
      <c r="AB26" s="75">
        <f>CORREL(résultats!$AB7:$AB160,résultats!AD7:AD160)</f>
        <v>9.3633784115067772E-2</v>
      </c>
    </row>
    <row r="27" spans="1:28">
      <c r="A27" s="117"/>
      <c r="B27" s="76" t="s">
        <v>21</v>
      </c>
      <c r="C27" s="75">
        <f>CORREL(résultats!$AC7:$AC160,résultats!E7:E160)</f>
        <v>-0.12035214642154531</v>
      </c>
      <c r="D27" s="75">
        <f>CORREL(résultats!$AC7:$AC160,résultats!F7:F160)</f>
        <v>-9.1040602278253266E-2</v>
      </c>
      <c r="E27" s="75">
        <f>CORREL(résultats!$AC7:$AC160,résultats!G7:G160)</f>
        <v>-0.14871555566983649</v>
      </c>
      <c r="F27" s="75">
        <f>CORREL(résultats!$AC7:$AC160,résultats!H7:H160)</f>
        <v>-0.13069280920105916</v>
      </c>
      <c r="G27" s="75">
        <f>CORREL(résultats!$AC7:$AC160,résultats!I7:I160)</f>
        <v>-0.14728982889756734</v>
      </c>
      <c r="H27" s="75">
        <f>CORREL(résultats!$AC7:$AC160,résultats!J7:J160)</f>
        <v>-0.12156821135680873</v>
      </c>
      <c r="I27" s="75">
        <f>CORREL(résultats!$AC7:$AC160,résultats!K7:K160)</f>
        <v>4.1077319969008942E-3</v>
      </c>
      <c r="J27" s="75">
        <f>CORREL(résultats!$AC7:$AC160,résultats!L7:L160)</f>
        <v>-7.9271287021571851E-2</v>
      </c>
      <c r="K27" s="75">
        <f>CORREL(résultats!$AC7:$AC160,résultats!M7:M160)</f>
        <v>-0.14701538809443443</v>
      </c>
      <c r="L27" s="75">
        <f>CORREL(résultats!$AC7:$AC160,résultats!N7:N160)</f>
        <v>-0.12346386337122225</v>
      </c>
      <c r="M27" s="75">
        <f>CORREL(résultats!$AC7:$AC160,résultats!O7:O160)</f>
        <v>-0.15850954586529029</v>
      </c>
      <c r="N27" s="75">
        <f>CORREL(résultats!$AC7:$AC160,résultats!P7:P160)</f>
        <v>-9.5884302373776042E-2</v>
      </c>
      <c r="O27" s="75">
        <f>CORREL(résultats!$AC7:$AC160,résultats!Q7:Q160)</f>
        <v>-0.14763006059540715</v>
      </c>
      <c r="P27" s="75">
        <f>CORREL(résultats!$AC7:$AC160,résultats!R7:R160)</f>
        <v>-0.12029749661790778</v>
      </c>
      <c r="Q27" s="75">
        <f>CORREL(résultats!$AC7:$AC160,résultats!S7:S160)</f>
        <v>0.20991490040461863</v>
      </c>
      <c r="R27" s="75">
        <f>CORREL(résultats!$AC7:$AC160,résultats!T7:T160)</f>
        <v>0.30984982335849698</v>
      </c>
      <c r="S27" s="75">
        <f>CORREL(résultats!$AC7:$AC160,résultats!U7:U160)</f>
        <v>7.0694016379530544E-2</v>
      </c>
      <c r="T27" s="75">
        <f>CORREL(résultats!$AC7:$AC160,résultats!V7:V160)</f>
        <v>0.16963288310328209</v>
      </c>
      <c r="U27" s="75">
        <f>CORREL(résultats!$AC7:$AC160,résultats!W7:W160)</f>
        <v>-2.1888602891545313E-2</v>
      </c>
      <c r="V27" s="75">
        <f>CORREL(résultats!$AC7:$AC160,résultats!X7:X160)</f>
        <v>-0.13700189776844143</v>
      </c>
      <c r="W27" s="75">
        <f>CORREL(résultats!$AC7:$AC160,résultats!Y7:Y160)</f>
        <v>-0.16405790837006584</v>
      </c>
      <c r="X27" s="75">
        <f>CORREL(résultats!$AC7:$AC160,résultats!Z7:Z160)</f>
        <v>-5.4917362751115084E-2</v>
      </c>
      <c r="Y27" s="75">
        <f>CORREL(résultats!$AC7:$AC160,résultats!AA7:AA160)</f>
        <v>-0.20632882703402103</v>
      </c>
      <c r="Z27" s="75">
        <f>CORREL(résultats!$AC7:$AC160,résultats!AB7:AB160)</f>
        <v>0.10587970261206994</v>
      </c>
      <c r="AA27" s="73">
        <f>CORREL(résultats!$AC7:$AC160,résultats!AC7:AC160)</f>
        <v>1</v>
      </c>
      <c r="AB27" s="75">
        <f>CORREL(résultats!$AC7:$AC160,résultats!AD7:AD160)</f>
        <v>1.0389325133269936E-2</v>
      </c>
    </row>
    <row r="28" spans="1:28">
      <c r="A28" s="117"/>
      <c r="B28" s="76" t="s">
        <v>22</v>
      </c>
      <c r="C28" s="75">
        <f>CORREL(résultats!$AD7:$AD160,résultats!E7:E160)</f>
        <v>-0.3144131411418461</v>
      </c>
      <c r="D28" s="75">
        <f>CORREL(résultats!$AD7:$AD160,résultats!F7:F160)</f>
        <v>-1.3112920218902532E-2</v>
      </c>
      <c r="E28" s="75">
        <f>CORREL(résultats!$AD7:$AD160,résultats!G7:G160)</f>
        <v>0.24715760841740478</v>
      </c>
      <c r="F28" s="75">
        <f>CORREL(résultats!$AD7:$AD160,résultats!H7:H160)</f>
        <v>0.24489429790320574</v>
      </c>
      <c r="G28" s="75">
        <f>CORREL(résultats!$AD7:$AD160,résultats!I7:I160)</f>
        <v>0.23640390295149721</v>
      </c>
      <c r="H28" s="75">
        <f>CORREL(résultats!$AD7:$AD160,résultats!J7:J160)</f>
        <v>0.21932327148403905</v>
      </c>
      <c r="I28" s="75">
        <f>CORREL(résultats!$AD7:$AD160,résultats!K7:K160)</f>
        <v>0.10383417170129768</v>
      </c>
      <c r="J28" s="75">
        <f>CORREL(résultats!$AD7:$AD160,résultats!L7:L160)</f>
        <v>-0.10767987030832264</v>
      </c>
      <c r="K28" s="75">
        <f>CORREL(résultats!$AD7:$AD160,résultats!M7:M160)</f>
        <v>0.24334997980019588</v>
      </c>
      <c r="L28" s="75">
        <f>CORREL(résultats!$AD7:$AD160,résultats!N7:N160)</f>
        <v>0.24167605932490732</v>
      </c>
      <c r="M28" s="75">
        <f>CORREL(résultats!$AD7:$AD160,résultats!O7:O160)</f>
        <v>0.2976520509495314</v>
      </c>
      <c r="N28" s="75">
        <f>CORREL(résultats!$AD7:$AD160,résultats!P7:P160)</f>
        <v>0.32126825810809678</v>
      </c>
      <c r="O28" s="75">
        <f>CORREL(résultats!$AD7:$AD160,résultats!Q7:Q160)</f>
        <v>0.23076228685173192</v>
      </c>
      <c r="P28" s="75">
        <f>CORREL(résultats!$AD7:$AD160,résultats!R7:R160)</f>
        <v>0.216396402527987</v>
      </c>
      <c r="Q28" s="75">
        <f>CORREL(résultats!$AD7:$AD160,résultats!S7:S160)</f>
        <v>-0.30872853666338612</v>
      </c>
      <c r="R28" s="75">
        <f>CORREL(résultats!$AD7:$AD160,résultats!T7:T160)</f>
        <v>-0.30555242499828811</v>
      </c>
      <c r="S28" s="75">
        <f>CORREL(résultats!$AD7:$AD160,résultats!U7:U160)</f>
        <v>-0.13892046865412822</v>
      </c>
      <c r="T28" s="75">
        <f>CORREL(résultats!$AD7:$AD160,résultats!V7:V160)</f>
        <v>0.12397648022680122</v>
      </c>
      <c r="U28" s="75">
        <f>CORREL(résultats!$AD7:$AD160,résultats!W7:W160)</f>
        <v>0.12296192814140626</v>
      </c>
      <c r="V28" s="75">
        <f>CORREL(résultats!$AD7:$AD160,résultats!X7:X160)</f>
        <v>0.29588906169525159</v>
      </c>
      <c r="W28" s="75">
        <f>CORREL(résultats!$AD7:$AD160,résultats!Y7:Y160)</f>
        <v>0.27872169307080363</v>
      </c>
      <c r="X28" s="75">
        <f>CORREL(résultats!$AD7:$AD160,résultats!Z7:Z160)</f>
        <v>-0.56851417067757137</v>
      </c>
      <c r="Y28" s="75">
        <f>CORREL(résultats!$AD7:$AD160,résultats!AA7:AA160)</f>
        <v>-4.3222728697431052E-2</v>
      </c>
      <c r="Z28" s="75">
        <f>CORREL(résultats!$AD7:$AD160,résultats!AB7:AB160)</f>
        <v>9.3633784115067772E-2</v>
      </c>
      <c r="AA28" s="75">
        <f>CORREL(résultats!$AD7:$AD160,résultats!AC7:AC160)</f>
        <v>1.0389325133269936E-2</v>
      </c>
      <c r="AB28" s="73">
        <f>CORREL(résultats!$AD7:$AD160,résultats!AD7:AD160)</f>
        <v>1</v>
      </c>
    </row>
    <row r="29" spans="1:28">
      <c r="A29" s="117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8">
      <c r="A30" s="117"/>
    </row>
    <row r="31" spans="1:28">
      <c r="A31" s="117"/>
    </row>
    <row r="32" spans="1:28">
      <c r="A32" s="117"/>
    </row>
    <row r="33" spans="1:1">
      <c r="A33" s="117"/>
    </row>
    <row r="34" spans="1:1">
      <c r="A34" s="117"/>
    </row>
    <row r="35" spans="1:1">
      <c r="A35" s="117"/>
    </row>
    <row r="36" spans="1:1">
      <c r="A36" s="117"/>
    </row>
    <row r="37" spans="1:1">
      <c r="A37" s="117"/>
    </row>
    <row r="38" spans="1:1">
      <c r="A38" s="117"/>
    </row>
    <row r="39" spans="1:1">
      <c r="A39" s="117"/>
    </row>
    <row r="40" spans="1:1">
      <c r="A40" s="117"/>
    </row>
    <row r="41" spans="1:1">
      <c r="A41" s="117"/>
    </row>
    <row r="42" spans="1:1">
      <c r="A42" s="117"/>
    </row>
    <row r="43" spans="1:1">
      <c r="A43" s="117"/>
    </row>
    <row r="44" spans="1:1">
      <c r="A44" s="117"/>
    </row>
    <row r="45" spans="1:1">
      <c r="A45" s="117"/>
    </row>
    <row r="46" spans="1:1">
      <c r="A46" s="117"/>
    </row>
    <row r="47" spans="1:1">
      <c r="A47" s="117"/>
    </row>
    <row r="48" spans="1:1">
      <c r="A48" s="117"/>
    </row>
    <row r="49" spans="1:1">
      <c r="A49" s="117"/>
    </row>
    <row r="50" spans="1:1">
      <c r="A50" s="117"/>
    </row>
    <row r="51" spans="1:1">
      <c r="A51" s="117"/>
    </row>
    <row r="52" spans="1:1">
      <c r="A52" s="117"/>
    </row>
    <row r="53" spans="1:1">
      <c r="A53" s="117"/>
    </row>
    <row r="54" spans="1:1">
      <c r="A54" s="117"/>
    </row>
    <row r="55" spans="1:1">
      <c r="A55" s="117"/>
    </row>
    <row r="56" spans="1:1">
      <c r="A56" s="117"/>
    </row>
    <row r="57" spans="1:1">
      <c r="A57" s="117"/>
    </row>
    <row r="58" spans="1:1">
      <c r="A58" s="117"/>
    </row>
    <row r="59" spans="1:1">
      <c r="A59" s="117"/>
    </row>
    <row r="60" spans="1:1">
      <c r="A60" s="117"/>
    </row>
    <row r="61" spans="1:1">
      <c r="A61" s="117"/>
    </row>
    <row r="62" spans="1:1">
      <c r="A62" s="117"/>
    </row>
    <row r="63" spans="1:1">
      <c r="A63" s="117"/>
    </row>
    <row r="64" spans="1:1">
      <c r="A64" s="117"/>
    </row>
    <row r="65" spans="1:1">
      <c r="A65" s="117"/>
    </row>
    <row r="66" spans="1:1">
      <c r="A66" s="117"/>
    </row>
    <row r="67" spans="1:1">
      <c r="A67" s="117"/>
    </row>
    <row r="68" spans="1:1">
      <c r="A68" s="117"/>
    </row>
    <row r="69" spans="1:1">
      <c r="A69" s="117"/>
    </row>
    <row r="70" spans="1:1">
      <c r="A70" s="117"/>
    </row>
    <row r="71" spans="1:1">
      <c r="A71" s="117"/>
    </row>
    <row r="72" spans="1:1">
      <c r="A72" s="117"/>
    </row>
    <row r="73" spans="1:1">
      <c r="A73" s="117"/>
    </row>
    <row r="74" spans="1:1">
      <c r="A74" s="117"/>
    </row>
    <row r="75" spans="1:1">
      <c r="A75" s="117"/>
    </row>
    <row r="76" spans="1:1">
      <c r="A76" s="117"/>
    </row>
    <row r="77" spans="1:1">
      <c r="A77" s="117"/>
    </row>
    <row r="78" spans="1:1">
      <c r="A78" s="117"/>
    </row>
    <row r="79" spans="1:1">
      <c r="A79" s="117"/>
    </row>
    <row r="80" spans="1:1">
      <c r="A80" s="117"/>
    </row>
    <row r="81" spans="1:1">
      <c r="A81" s="117"/>
    </row>
    <row r="82" spans="1:1">
      <c r="A82" s="117"/>
    </row>
    <row r="83" spans="1:1">
      <c r="A83" s="117"/>
    </row>
    <row r="84" spans="1:1">
      <c r="A84" s="117"/>
    </row>
    <row r="85" spans="1:1">
      <c r="A85" s="117"/>
    </row>
    <row r="86" spans="1:1">
      <c r="A86" s="117"/>
    </row>
    <row r="87" spans="1:1">
      <c r="A87" s="117"/>
    </row>
    <row r="88" spans="1:1">
      <c r="A88" s="117"/>
    </row>
    <row r="89" spans="1:1">
      <c r="A89" s="117"/>
    </row>
    <row r="90" spans="1:1">
      <c r="A90" s="117"/>
    </row>
    <row r="91" spans="1:1">
      <c r="A91" s="117"/>
    </row>
    <row r="92" spans="1:1">
      <c r="A92" s="117"/>
    </row>
    <row r="93" spans="1:1">
      <c r="A93" s="117"/>
    </row>
    <row r="94" spans="1:1">
      <c r="A94" s="117"/>
    </row>
    <row r="95" spans="1:1">
      <c r="A95" s="117"/>
    </row>
    <row r="96" spans="1:1">
      <c r="A96" s="117"/>
    </row>
    <row r="97" spans="1:1">
      <c r="A97" s="117"/>
    </row>
    <row r="98" spans="1:1">
      <c r="A98" s="117"/>
    </row>
    <row r="99" spans="1:1">
      <c r="A99" s="117"/>
    </row>
    <row r="100" spans="1:1">
      <c r="A100" s="117"/>
    </row>
    <row r="101" spans="1:1">
      <c r="A101" s="117"/>
    </row>
    <row r="102" spans="1:1">
      <c r="A102" s="117"/>
    </row>
    <row r="103" spans="1:1">
      <c r="A103" s="117"/>
    </row>
    <row r="104" spans="1:1">
      <c r="A104" s="117"/>
    </row>
    <row r="105" spans="1:1">
      <c r="A105" s="117"/>
    </row>
    <row r="106" spans="1:1">
      <c r="A106" s="117"/>
    </row>
    <row r="107" spans="1:1">
      <c r="A107" s="117"/>
    </row>
    <row r="108" spans="1:1">
      <c r="A108" s="117"/>
    </row>
    <row r="109" spans="1:1">
      <c r="A109" s="117"/>
    </row>
    <row r="110" spans="1:1">
      <c r="A110" s="117"/>
    </row>
    <row r="111" spans="1:1">
      <c r="A111" s="117"/>
    </row>
    <row r="112" spans="1:1">
      <c r="A112" s="117"/>
    </row>
    <row r="113" spans="1:1">
      <c r="A113" s="117"/>
    </row>
    <row r="114" spans="1:1">
      <c r="A114" s="117"/>
    </row>
    <row r="115" spans="1:1">
      <c r="A115" s="117"/>
    </row>
    <row r="116" spans="1:1">
      <c r="A116" s="117"/>
    </row>
    <row r="117" spans="1:1">
      <c r="A117" s="117"/>
    </row>
    <row r="118" spans="1:1">
      <c r="A118" s="117"/>
    </row>
    <row r="119" spans="1:1">
      <c r="A119" s="117"/>
    </row>
    <row r="120" spans="1:1">
      <c r="A120" s="117"/>
    </row>
    <row r="121" spans="1:1">
      <c r="A121" s="117"/>
    </row>
    <row r="122" spans="1:1">
      <c r="A122" s="117"/>
    </row>
    <row r="123" spans="1:1">
      <c r="A123" s="117"/>
    </row>
    <row r="124" spans="1:1">
      <c r="A124" s="117"/>
    </row>
    <row r="125" spans="1:1">
      <c r="A125" s="117"/>
    </row>
    <row r="126" spans="1:1">
      <c r="A126" s="117"/>
    </row>
    <row r="127" spans="1:1">
      <c r="A127" s="117"/>
    </row>
    <row r="128" spans="1:1">
      <c r="A128" s="117"/>
    </row>
    <row r="129" spans="1:1">
      <c r="A129" s="117"/>
    </row>
    <row r="130" spans="1:1">
      <c r="A130" s="117"/>
    </row>
    <row r="131" spans="1:1">
      <c r="A131" s="117"/>
    </row>
    <row r="132" spans="1:1">
      <c r="A132" s="117"/>
    </row>
    <row r="133" spans="1:1">
      <c r="A133" s="117"/>
    </row>
    <row r="134" spans="1:1">
      <c r="A134" s="117"/>
    </row>
    <row r="135" spans="1:1">
      <c r="A135" s="117"/>
    </row>
    <row r="136" spans="1:1">
      <c r="A136" s="117"/>
    </row>
    <row r="137" spans="1:1">
      <c r="A137" s="117"/>
    </row>
    <row r="138" spans="1:1">
      <c r="A138" s="117"/>
    </row>
    <row r="139" spans="1:1">
      <c r="A139" s="117"/>
    </row>
    <row r="140" spans="1:1">
      <c r="A140" s="117"/>
    </row>
    <row r="141" spans="1:1">
      <c r="A141" s="117"/>
    </row>
    <row r="142" spans="1:1">
      <c r="A142" s="117"/>
    </row>
    <row r="143" spans="1:1">
      <c r="A143" s="117"/>
    </row>
    <row r="144" spans="1:1">
      <c r="A144" s="117"/>
    </row>
    <row r="145" spans="1:1">
      <c r="A145" s="117"/>
    </row>
    <row r="146" spans="1:1">
      <c r="A146" s="117"/>
    </row>
    <row r="147" spans="1:1">
      <c r="A147" s="117"/>
    </row>
    <row r="148" spans="1:1">
      <c r="A148" s="117"/>
    </row>
    <row r="149" spans="1:1">
      <c r="A149" s="117"/>
    </row>
    <row r="150" spans="1:1">
      <c r="A150" s="117"/>
    </row>
    <row r="151" spans="1:1">
      <c r="A151" s="117"/>
    </row>
    <row r="152" spans="1:1">
      <c r="A152" s="117"/>
    </row>
    <row r="153" spans="1:1">
      <c r="A153" s="117"/>
    </row>
    <row r="154" spans="1:1">
      <c r="A154" s="117"/>
    </row>
    <row r="155" spans="1:1">
      <c r="A155" s="117"/>
    </row>
    <row r="156" spans="1:1">
      <c r="A156" s="117"/>
    </row>
    <row r="157" spans="1:1">
      <c r="A157" s="117"/>
    </row>
  </sheetData>
  <mergeCells count="1">
    <mergeCell ref="A1:A1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9"/>
  <sheetViews>
    <sheetView workbookViewId="0">
      <selection activeCell="I57" sqref="I57:I59"/>
    </sheetView>
  </sheetViews>
  <sheetFormatPr baseColWidth="10" defaultRowHeight="15"/>
  <cols>
    <col min="5" max="5" width="11.42578125" customWidth="1"/>
    <col min="10" max="10" width="11.42578125" customWidth="1"/>
    <col min="14" max="14" width="10.7109375" customWidth="1"/>
    <col min="19" max="19" width="10.28515625" customWidth="1"/>
    <col min="20" max="20" width="16.5703125" customWidth="1"/>
  </cols>
  <sheetData>
    <row r="1" spans="1:17">
      <c r="A1" s="148" t="s">
        <v>76</v>
      </c>
      <c r="B1" s="59" t="s">
        <v>34</v>
      </c>
      <c r="C1" s="59" t="s">
        <v>68</v>
      </c>
      <c r="D1" s="59" t="s">
        <v>69</v>
      </c>
      <c r="F1" s="59" t="s">
        <v>34</v>
      </c>
      <c r="G1" s="59" t="s">
        <v>68</v>
      </c>
      <c r="H1" s="59" t="s">
        <v>69</v>
      </c>
      <c r="K1" s="59" t="s">
        <v>34</v>
      </c>
      <c r="L1" s="59" t="s">
        <v>68</v>
      </c>
      <c r="M1" s="59" t="s">
        <v>69</v>
      </c>
      <c r="O1" s="59" t="s">
        <v>34</v>
      </c>
      <c r="P1" s="59" t="s">
        <v>68</v>
      </c>
      <c r="Q1" s="59" t="s">
        <v>69</v>
      </c>
    </row>
    <row r="2" spans="1:17">
      <c r="A2" s="149"/>
      <c r="B2" s="85">
        <v>-0.30249553164201692</v>
      </c>
      <c r="C2" s="85">
        <v>-1.2944644515298642</v>
      </c>
      <c r="D2" s="40">
        <f>0.0882*C2 - 0.1844</f>
        <v>-0.29857176462493407</v>
      </c>
      <c r="F2" s="88">
        <v>-0.19413699207164656</v>
      </c>
      <c r="G2" s="88">
        <v>-1.4247068279188297</v>
      </c>
      <c r="H2" s="40">
        <f xml:space="preserve"> 0.1129*G2 - 0.1114</f>
        <v>-0.27224940087203586</v>
      </c>
      <c r="K2" s="48">
        <v>-0.28528317645412771</v>
      </c>
      <c r="L2" s="48">
        <v>-0.92601162124871472</v>
      </c>
      <c r="M2" s="40">
        <f xml:space="preserve"> 0.1345*L2- 0.1744</f>
        <v>-0.29894856305795214</v>
      </c>
      <c r="O2" s="50">
        <v>-0.29916034628718202</v>
      </c>
      <c r="P2" s="50">
        <v>-1.3837346670859187</v>
      </c>
      <c r="Q2" s="40">
        <f xml:space="preserve"> 0.0759*P2 - 0.1919</f>
        <v>-0.29692546123182123</v>
      </c>
    </row>
    <row r="3" spans="1:17">
      <c r="A3" s="149"/>
      <c r="B3" s="85">
        <v>-0.29325963373632025</v>
      </c>
      <c r="C3" s="85">
        <v>-1.900407328360235</v>
      </c>
      <c r="D3" s="40">
        <f t="shared" ref="D3:D10" si="0">0.0882*C3 - 0.1844</f>
        <v>-0.35201592636137274</v>
      </c>
      <c r="F3" s="88">
        <v>-0.18140264798954966</v>
      </c>
      <c r="G3" s="88">
        <v>-1.3897399931253447</v>
      </c>
      <c r="H3" s="40">
        <f t="shared" ref="H3:H7" si="1" xml:space="preserve"> 0.1129*G3 - 0.1114</f>
        <v>-0.26830164522385141</v>
      </c>
      <c r="K3" s="48">
        <v>-0.26639156710156636</v>
      </c>
      <c r="L3" s="48">
        <v>-0.93886625635714527</v>
      </c>
      <c r="M3" s="40">
        <f t="shared" ref="M3:M10" si="2" xml:space="preserve"> 0.1345*L3- 0.1744</f>
        <v>-0.30067751148003607</v>
      </c>
      <c r="O3" s="50">
        <v>-0.28663590897566915</v>
      </c>
      <c r="P3" s="50">
        <v>-1.3535807325578728</v>
      </c>
      <c r="Q3" s="40">
        <f t="shared" ref="Q3:Q9" si="3" xml:space="preserve"> 0.0759*P3 - 0.1919</f>
        <v>-0.29463677760114254</v>
      </c>
    </row>
    <row r="4" spans="1:17">
      <c r="A4" s="149"/>
      <c r="B4" s="85">
        <v>-0.28367389121298364</v>
      </c>
      <c r="C4" s="85">
        <v>-1.0606517673049223</v>
      </c>
      <c r="D4" s="40">
        <f t="shared" si="0"/>
        <v>-0.27794948587629414</v>
      </c>
      <c r="F4" s="88">
        <v>-0.13890818843354133</v>
      </c>
      <c r="G4" s="88">
        <v>-1.3689390840946076</v>
      </c>
      <c r="H4" s="40">
        <f t="shared" si="1"/>
        <v>-0.26595322259428122</v>
      </c>
      <c r="K4" s="48">
        <v>-0.25531315420963224</v>
      </c>
      <c r="L4" s="48">
        <v>-0.79038332719445192</v>
      </c>
      <c r="M4" s="40">
        <f t="shared" si="2"/>
        <v>-0.28070655750765378</v>
      </c>
      <c r="O4" s="50">
        <v>-0.25785535843114976</v>
      </c>
      <c r="P4" s="50">
        <v>-1.1568460923846664</v>
      </c>
      <c r="Q4" s="40">
        <f t="shared" si="3"/>
        <v>-0.27970461841199618</v>
      </c>
    </row>
    <row r="5" spans="1:17">
      <c r="A5" s="149"/>
      <c r="B5" s="85">
        <v>-0.25850840171741113</v>
      </c>
      <c r="C5" s="85">
        <v>-0.77511639244373098</v>
      </c>
      <c r="D5" s="40">
        <f t="shared" si="0"/>
        <v>-0.25276526581353709</v>
      </c>
      <c r="F5" s="88">
        <v>-0.11791751137513984</v>
      </c>
      <c r="G5" s="88">
        <v>1.0449179721244817E-2</v>
      </c>
      <c r="H5" s="40">
        <f t="shared" si="1"/>
        <v>-0.11022028760947146</v>
      </c>
      <c r="K5" s="48">
        <v>-0.2365848056786363</v>
      </c>
      <c r="L5" s="48">
        <v>-0.52062320145871643</v>
      </c>
      <c r="M5" s="40">
        <f t="shared" si="2"/>
        <v>-0.24442382059619738</v>
      </c>
      <c r="O5" s="50">
        <v>-0.24346508315889007</v>
      </c>
      <c r="P5" s="50">
        <v>-0.90109726239255328</v>
      </c>
      <c r="Q5" s="40">
        <f t="shared" si="3"/>
        <v>-0.26029328221559478</v>
      </c>
    </row>
    <row r="6" spans="1:17">
      <c r="A6" s="149"/>
      <c r="B6" s="85">
        <v>-0.23798418414919636</v>
      </c>
      <c r="C6" s="85">
        <v>-0.46914503692505316</v>
      </c>
      <c r="D6" s="40">
        <f t="shared" si="0"/>
        <v>-0.2257785922567897</v>
      </c>
      <c r="F6" s="88">
        <v>-2.2036763167263711E-2</v>
      </c>
      <c r="G6" s="88">
        <v>1.0871147843681763</v>
      </c>
      <c r="H6" s="40">
        <f t="shared" si="1"/>
        <v>1.1335259155167102E-2</v>
      </c>
      <c r="K6" s="48">
        <v>-0.22046863029268579</v>
      </c>
      <c r="L6" s="48">
        <v>-0.67574042008256907</v>
      </c>
      <c r="M6" s="40">
        <f t="shared" si="2"/>
        <v>-0.26528708650110555</v>
      </c>
      <c r="O6" s="50">
        <v>-0.21881269910252302</v>
      </c>
      <c r="P6" s="50">
        <v>-0.42498051788935004</v>
      </c>
      <c r="Q6" s="40">
        <f t="shared" si="3"/>
        <v>-0.22415602130780166</v>
      </c>
    </row>
    <row r="7" spans="1:17">
      <c r="A7" s="149"/>
      <c r="B7" s="85">
        <v>-0.23394930955908141</v>
      </c>
      <c r="C7" s="85">
        <v>-0.17609278936769568</v>
      </c>
      <c r="D7" s="40">
        <f t="shared" si="0"/>
        <v>-0.19993138402223076</v>
      </c>
      <c r="F7" s="88">
        <v>0.20900062232220867</v>
      </c>
      <c r="G7" s="88">
        <v>1.7006834544928269</v>
      </c>
      <c r="H7" s="40">
        <f t="shared" si="1"/>
        <v>8.0607162012240163E-2</v>
      </c>
      <c r="K7" s="48">
        <v>-0.18732668351492077</v>
      </c>
      <c r="L7" s="48">
        <v>-0.14168129314497896</v>
      </c>
      <c r="M7" s="40">
        <f t="shared" si="2"/>
        <v>-0.19345613392799968</v>
      </c>
      <c r="O7" s="50">
        <v>-0.14254657245699759</v>
      </c>
      <c r="P7" s="50">
        <v>0.87789666271693234</v>
      </c>
      <c r="Q7" s="40">
        <f t="shared" si="3"/>
        <v>-0.12526764329978482</v>
      </c>
    </row>
    <row r="8" spans="1:17">
      <c r="A8" s="149"/>
      <c r="B8" s="85">
        <v>-0.21272540275558655</v>
      </c>
      <c r="C8" s="85">
        <v>0.14312372935788648</v>
      </c>
      <c r="D8" s="40">
        <f t="shared" si="0"/>
        <v>-0.17177648707063442</v>
      </c>
      <c r="H8" s="40"/>
      <c r="K8" s="48">
        <v>-1.4433473477220526E-2</v>
      </c>
      <c r="L8" s="48">
        <v>0.73451856391240611</v>
      </c>
      <c r="M8" s="40">
        <f t="shared" si="2"/>
        <v>-7.5607253153781376E-2</v>
      </c>
      <c r="O8" s="50">
        <v>-0.11742772891044383</v>
      </c>
      <c r="P8" s="50">
        <v>1.6737844066410217</v>
      </c>
      <c r="Q8" s="40">
        <f t="shared" si="3"/>
        <v>-6.4859763535946441E-2</v>
      </c>
    </row>
    <row r="9" spans="1:17">
      <c r="A9" s="149"/>
      <c r="B9" s="85">
        <v>7.7389077166031328E-2</v>
      </c>
      <c r="C9" s="85">
        <v>2.747294549099073</v>
      </c>
      <c r="D9" s="40">
        <f t="shared" si="0"/>
        <v>5.791137923053824E-2</v>
      </c>
      <c r="H9" s="40"/>
      <c r="K9" s="48">
        <v>0.16853526154851248</v>
      </c>
      <c r="L9" s="48">
        <v>3.0996424483255041</v>
      </c>
      <c r="M9" s="40">
        <f t="shared" si="2"/>
        <v>0.24250190929978033</v>
      </c>
      <c r="O9" s="50">
        <v>0.35740470912510724</v>
      </c>
      <c r="P9" s="50">
        <v>5.0354589492092785</v>
      </c>
      <c r="Q9" s="40">
        <f t="shared" si="3"/>
        <v>0.19029133424498421</v>
      </c>
    </row>
    <row r="10" spans="1:17">
      <c r="A10" s="149"/>
      <c r="B10" s="85">
        <v>0.32069434724741397</v>
      </c>
      <c r="C10" s="85">
        <v>5.0312034654033386</v>
      </c>
      <c r="D10" s="40">
        <f t="shared" si="0"/>
        <v>0.25935214564857445</v>
      </c>
      <c r="F10" s="124" t="s">
        <v>8</v>
      </c>
      <c r="G10" s="124"/>
      <c r="H10" s="60">
        <f>CORREL(F2:F7,G2:G7)*100</f>
        <v>90.148687744995357</v>
      </c>
      <c r="K10" s="48">
        <v>0.71324333121403105</v>
      </c>
      <c r="L10" s="48">
        <v>8.9254266416288015</v>
      </c>
      <c r="M10" s="40">
        <f t="shared" si="2"/>
        <v>1.026069883299074</v>
      </c>
      <c r="Q10" s="40"/>
    </row>
    <row r="11" spans="1:17">
      <c r="A11" s="149"/>
      <c r="D11" s="40"/>
      <c r="K11" s="139" t="s">
        <v>23</v>
      </c>
      <c r="L11" s="140"/>
      <c r="M11" s="60">
        <f>CORREL(K2:K11,L2:L11)*100</f>
        <v>99.521493093610175</v>
      </c>
      <c r="O11" s="134" t="s">
        <v>54</v>
      </c>
      <c r="P11" s="135"/>
      <c r="Q11" s="60">
        <f>CORREL(O2:O9,P2:P9)*100</f>
        <v>97.339731908885028</v>
      </c>
    </row>
    <row r="12" spans="1:17">
      <c r="A12" s="149"/>
      <c r="B12" s="125" t="s">
        <v>16</v>
      </c>
      <c r="C12" s="125"/>
      <c r="D12" s="60">
        <f>CORREL(B2:B9,C2:C9)*100</f>
        <v>96.821505587752483</v>
      </c>
    </row>
    <row r="13" spans="1:17" ht="18" customHeight="1">
      <c r="A13" s="149"/>
    </row>
    <row r="14" spans="1:17">
      <c r="A14" s="149"/>
      <c r="B14" s="59" t="s">
        <v>34</v>
      </c>
      <c r="C14" s="59" t="s">
        <v>68</v>
      </c>
      <c r="D14" s="59" t="s">
        <v>69</v>
      </c>
      <c r="F14" s="59" t="s">
        <v>34</v>
      </c>
      <c r="G14" s="59" t="s">
        <v>68</v>
      </c>
      <c r="H14" s="59" t="s">
        <v>69</v>
      </c>
      <c r="K14" s="59" t="s">
        <v>34</v>
      </c>
      <c r="L14" s="59" t="s">
        <v>68</v>
      </c>
      <c r="M14" s="59" t="s">
        <v>69</v>
      </c>
      <c r="O14" s="59" t="s">
        <v>34</v>
      </c>
      <c r="P14" s="59" t="s">
        <v>68</v>
      </c>
      <c r="Q14" s="59" t="s">
        <v>69</v>
      </c>
    </row>
    <row r="15" spans="1:17">
      <c r="A15" s="149"/>
      <c r="B15" s="43">
        <v>-0.27651373803861778</v>
      </c>
      <c r="C15" s="43">
        <v>-1.7731625140350491</v>
      </c>
      <c r="D15" s="40">
        <f xml:space="preserve"> 0.0882*C15 - 0.1844</f>
        <v>-0.34079293373789132</v>
      </c>
      <c r="F15" s="46">
        <v>-0.27492777577198302</v>
      </c>
      <c r="G15" s="46">
        <v>-0.94584861215060301</v>
      </c>
      <c r="H15" s="40">
        <f xml:space="preserve"> 0.1129*G15 - 0.1114</f>
        <v>-0.21818630831180308</v>
      </c>
      <c r="K15" s="90">
        <v>-0.28493333183648767</v>
      </c>
      <c r="L15" s="90">
        <v>-0.79530815115360953</v>
      </c>
      <c r="M15" s="40">
        <f xml:space="preserve"> 0.1345*L15 - 0.1744</f>
        <v>-0.28136894633016052</v>
      </c>
      <c r="O15" s="92">
        <v>-0.30380161821453971</v>
      </c>
      <c r="P15" s="92">
        <v>-1.2508566544023336</v>
      </c>
      <c r="Q15" s="40">
        <f xml:space="preserve"> 0.0759*P15 - 0.1919</f>
        <v>-0.28684002006913711</v>
      </c>
    </row>
    <row r="16" spans="1:17">
      <c r="A16" s="149"/>
      <c r="B16" s="43">
        <v>-0.25410035953514681</v>
      </c>
      <c r="C16" s="43">
        <v>-0.69217348288267666</v>
      </c>
      <c r="D16" s="40">
        <f t="shared" ref="D16:D22" si="4" xml:space="preserve"> 0.0882*C16 - 0.1844</f>
        <v>-0.24544970119025208</v>
      </c>
      <c r="F16" s="46">
        <v>-0.2335294960179134</v>
      </c>
      <c r="G16" s="46">
        <v>-0.90108661953575298</v>
      </c>
      <c r="H16" s="40">
        <f t="shared" ref="H16:H22" si="5" xml:space="preserve"> 0.1129*G16 - 0.1114</f>
        <v>-0.2131326793455865</v>
      </c>
      <c r="K16" s="90">
        <v>-0.2563626880625523</v>
      </c>
      <c r="L16" s="90">
        <v>-0.53689170376927575</v>
      </c>
      <c r="M16" s="40">
        <f t="shared" ref="M16:M21" si="6" xml:space="preserve"> 0.1345*L16 - 0.1744</f>
        <v>-0.24661193415696758</v>
      </c>
      <c r="O16" s="92">
        <v>-0.28539979132667437</v>
      </c>
      <c r="P16" s="92">
        <v>-1.2447473261436577</v>
      </c>
      <c r="Q16" s="40">
        <f t="shared" ref="Q16:Q23" si="7" xml:space="preserve"> 0.0759*P16 - 0.1919</f>
        <v>-0.28637632205430363</v>
      </c>
    </row>
    <row r="17" spans="1:17">
      <c r="A17" s="149"/>
      <c r="B17" s="43">
        <v>-0.23035757148464381</v>
      </c>
      <c r="C17" s="43">
        <v>-0.62946711106377307</v>
      </c>
      <c r="D17" s="40">
        <f t="shared" si="4"/>
        <v>-0.23991899919582479</v>
      </c>
      <c r="F17" s="46">
        <v>-0.22256769799852591</v>
      </c>
      <c r="G17" s="46">
        <v>-0.58319533877956742</v>
      </c>
      <c r="H17" s="40">
        <f t="shared" si="5"/>
        <v>-0.17724275374821316</v>
      </c>
      <c r="K17" s="90">
        <v>-0.21032313638112507</v>
      </c>
      <c r="L17" s="90">
        <v>-0.37381814807474767</v>
      </c>
      <c r="M17" s="40">
        <f t="shared" si="6"/>
        <v>-0.22467854091605355</v>
      </c>
      <c r="O17" s="92">
        <v>-0.24843287672937842</v>
      </c>
      <c r="P17" s="92">
        <v>-1.1594488402067227</v>
      </c>
      <c r="Q17" s="40">
        <f t="shared" si="7"/>
        <v>-0.27990216697169024</v>
      </c>
    </row>
    <row r="18" spans="1:17">
      <c r="A18" s="149"/>
      <c r="B18" s="43">
        <v>-0.20316298320675921</v>
      </c>
      <c r="C18" s="43">
        <v>-0.23930523589533798</v>
      </c>
      <c r="D18" s="40">
        <f t="shared" si="4"/>
        <v>-0.20550672180596882</v>
      </c>
      <c r="F18" s="46">
        <v>-0.22014210864955508</v>
      </c>
      <c r="G18" s="46">
        <v>-0.46086354071949293</v>
      </c>
      <c r="H18" s="40">
        <f t="shared" si="5"/>
        <v>-0.16343149374723076</v>
      </c>
      <c r="K18" s="90">
        <v>-0.19007879450702228</v>
      </c>
      <c r="L18" s="90">
        <v>3.50489735537452E-2</v>
      </c>
      <c r="M18" s="40">
        <f t="shared" si="6"/>
        <v>-0.16968591305702127</v>
      </c>
      <c r="O18" s="92">
        <v>-0.22352393995340866</v>
      </c>
      <c r="P18" s="92">
        <v>-0.91265593042742643</v>
      </c>
      <c r="Q18" s="40">
        <f t="shared" si="7"/>
        <v>-0.26117058511944163</v>
      </c>
    </row>
    <row r="19" spans="1:17">
      <c r="A19" s="149"/>
      <c r="B19" s="43">
        <v>-0.19847506533038289</v>
      </c>
      <c r="C19" s="43">
        <v>-0.2244594051367732</v>
      </c>
      <c r="D19" s="40">
        <f t="shared" si="4"/>
        <v>-0.20419731953306341</v>
      </c>
      <c r="F19" s="46">
        <v>-0.20073739385778841</v>
      </c>
      <c r="G19" s="46">
        <v>-0.15053539532394222</v>
      </c>
      <c r="H19" s="40">
        <f t="shared" si="5"/>
        <v>-0.12839544613207307</v>
      </c>
      <c r="K19" s="90">
        <v>-0.15917585328215342</v>
      </c>
      <c r="L19" s="90">
        <v>0.76485665369497746</v>
      </c>
      <c r="M19" s="40">
        <f t="shared" si="6"/>
        <v>-7.1526780078025529E-2</v>
      </c>
      <c r="O19" s="92">
        <v>-0.21685356924373886</v>
      </c>
      <c r="P19" s="92">
        <v>-0.90734097213679954</v>
      </c>
      <c r="Q19" s="40">
        <f t="shared" si="7"/>
        <v>-0.26076717978518305</v>
      </c>
    </row>
    <row r="20" spans="1:17">
      <c r="A20" s="149"/>
      <c r="B20" s="43">
        <v>-0.18018985331506426</v>
      </c>
      <c r="C20" s="43">
        <v>0.23314155224888394</v>
      </c>
      <c r="D20" s="40">
        <f t="shared" si="4"/>
        <v>-0.16383691509164844</v>
      </c>
      <c r="F20" s="46">
        <v>-0.15472116515087045</v>
      </c>
      <c r="G20" s="46">
        <v>0.63582704294803394</v>
      </c>
      <c r="H20" s="40">
        <f t="shared" si="5"/>
        <v>-3.9615126851166971E-2</v>
      </c>
      <c r="K20" s="90">
        <v>0.18245907733058547</v>
      </c>
      <c r="L20" s="90">
        <v>3.2701543954603296</v>
      </c>
      <c r="M20" s="40">
        <f t="shared" si="6"/>
        <v>0.26543576618941433</v>
      </c>
      <c r="O20" s="92">
        <v>-0.1959561840833747</v>
      </c>
      <c r="P20" s="92">
        <v>0.25647815453241501</v>
      </c>
      <c r="Q20" s="40">
        <f t="shared" si="7"/>
        <v>-0.17243330807098969</v>
      </c>
    </row>
    <row r="21" spans="1:17">
      <c r="A21" s="149"/>
      <c r="B21" s="43">
        <v>-0.15350837047638505</v>
      </c>
      <c r="C21" s="43">
        <v>0.88221731179052831</v>
      </c>
      <c r="D21" s="40">
        <f t="shared" si="4"/>
        <v>-0.10658843310007542</v>
      </c>
      <c r="F21" s="46">
        <v>8.3530726183997806E-3</v>
      </c>
      <c r="G21" s="46">
        <v>1.5502305951690039</v>
      </c>
      <c r="H21" s="40">
        <f t="shared" si="5"/>
        <v>6.3621034194580539E-2</v>
      </c>
      <c r="K21" s="90">
        <v>1.4060289660393175</v>
      </c>
      <c r="L21" s="90">
        <v>8.893299518360358</v>
      </c>
      <c r="M21" s="40">
        <f t="shared" si="6"/>
        <v>1.0217487852194682</v>
      </c>
      <c r="O21" s="92">
        <v>-0.15376492319598772</v>
      </c>
      <c r="P21" s="92">
        <v>1.4597200495611133</v>
      </c>
      <c r="Q21" s="40">
        <f t="shared" si="7"/>
        <v>-8.1107248238311488E-2</v>
      </c>
    </row>
    <row r="22" spans="1:17">
      <c r="A22" s="149"/>
      <c r="B22" s="43">
        <v>-2.6118283706397332E-2</v>
      </c>
      <c r="C22" s="43">
        <v>2.327334548827996</v>
      </c>
      <c r="D22" s="40">
        <f t="shared" si="4"/>
        <v>2.0870907206629236E-2</v>
      </c>
      <c r="F22" s="46">
        <v>0.58520020115778204</v>
      </c>
      <c r="G22" s="46">
        <v>5.7937585318769749</v>
      </c>
      <c r="H22" s="40">
        <f t="shared" si="5"/>
        <v>0.54271533824891049</v>
      </c>
      <c r="M22" s="40"/>
      <c r="O22" s="92">
        <v>-8.4449042954244144E-2</v>
      </c>
      <c r="P22" s="92">
        <v>3.1369876885025016</v>
      </c>
      <c r="Q22" s="40">
        <f t="shared" si="7"/>
        <v>4.6197365557339887E-2</v>
      </c>
    </row>
    <row r="23" spans="1:17">
      <c r="A23" s="149"/>
      <c r="H23" s="40"/>
      <c r="K23" s="141" t="s">
        <v>24</v>
      </c>
      <c r="L23" s="142"/>
      <c r="M23" s="60">
        <f>CORREL(K15:K21,L15:L21)*100</f>
        <v>98.803020512504119</v>
      </c>
      <c r="O23" s="92">
        <v>0.13907834474322242</v>
      </c>
      <c r="P23" s="92">
        <v>4.5836752576420139</v>
      </c>
      <c r="Q23" s="40">
        <f t="shared" si="7"/>
        <v>0.15600095205502887</v>
      </c>
    </row>
    <row r="24" spans="1:17">
      <c r="A24" s="149"/>
      <c r="B24" s="151" t="s">
        <v>15</v>
      </c>
      <c r="C24" s="152"/>
      <c r="D24" s="60">
        <f>CORREL(B15:B22,C15:C22)*100</f>
        <v>97.863009481633057</v>
      </c>
      <c r="F24" s="138" t="s">
        <v>7</v>
      </c>
      <c r="G24" s="138"/>
      <c r="H24" s="60">
        <f>CORREL(F15:F23,G15:G23)*100</f>
        <v>99.263030301528232</v>
      </c>
      <c r="Q24" s="40"/>
    </row>
    <row r="25" spans="1:17" ht="12.75" customHeight="1">
      <c r="A25" s="149"/>
      <c r="O25" s="136" t="s">
        <v>28</v>
      </c>
      <c r="P25" s="137"/>
      <c r="Q25" s="61">
        <f>CORREL(O15:O23,P15:P23)*100</f>
        <v>94.738401041222033</v>
      </c>
    </row>
    <row r="26" spans="1:17">
      <c r="A26" s="149"/>
      <c r="B26" s="59" t="s">
        <v>34</v>
      </c>
      <c r="C26" s="59" t="s">
        <v>68</v>
      </c>
      <c r="D26" s="59" t="s">
        <v>69</v>
      </c>
      <c r="F26" s="59" t="s">
        <v>34</v>
      </c>
      <c r="G26" s="59" t="s">
        <v>68</v>
      </c>
      <c r="H26" s="59" t="s">
        <v>69</v>
      </c>
      <c r="K26" s="59" t="s">
        <v>34</v>
      </c>
      <c r="L26" s="59" t="s">
        <v>68</v>
      </c>
      <c r="M26" s="59" t="s">
        <v>69</v>
      </c>
    </row>
    <row r="27" spans="1:17">
      <c r="A27" s="149"/>
      <c r="B27" s="44">
        <v>-0.29923031521071003</v>
      </c>
      <c r="C27" s="44">
        <v>-2.1594710978261942</v>
      </c>
      <c r="D27" s="40">
        <f xml:space="preserve"> 0.1071*C27 - 0.0719</f>
        <v>-0.30317935457718542</v>
      </c>
      <c r="F27" s="47">
        <v>-0.28675252384821581</v>
      </c>
      <c r="G27" s="47">
        <v>-0.80809110875840906</v>
      </c>
      <c r="H27" s="40">
        <f xml:space="preserve"> 0.1281*G27 - 0.1634</f>
        <v>-0.26691647103195215</v>
      </c>
      <c r="K27" s="49">
        <v>-0.23247996216499328</v>
      </c>
      <c r="L27" s="165">
        <v>-1.6562407838533804</v>
      </c>
      <c r="M27" s="40">
        <f>0.1116*L27- 0.1487</f>
        <v>-0.33353647147803722</v>
      </c>
    </row>
    <row r="28" spans="1:17">
      <c r="A28" s="149"/>
      <c r="B28" s="44">
        <v>-0.27679361373272976</v>
      </c>
      <c r="C28" s="44">
        <v>-2.3554394588087026</v>
      </c>
      <c r="D28" s="40">
        <f t="shared" ref="D28:D36" si="8" xml:space="preserve"> 0.1071*C28 - 0.0719</f>
        <v>-0.32416756603841207</v>
      </c>
      <c r="F28" s="47">
        <v>-0.26244998440948875</v>
      </c>
      <c r="G28" s="47">
        <v>-1.1485050090689524</v>
      </c>
      <c r="H28" s="40">
        <f t="shared" ref="H28:H33" si="9" xml:space="preserve"> 0.1281*G28 - 0.1634</f>
        <v>-0.31052349166173276</v>
      </c>
      <c r="K28" s="49">
        <v>-0.18963565799134494</v>
      </c>
      <c r="L28" s="165">
        <v>-1.2868367478006419</v>
      </c>
      <c r="M28" s="40">
        <f>0.1116*L28- 0.1487</f>
        <v>-0.29231098105455167</v>
      </c>
    </row>
    <row r="29" spans="1:17">
      <c r="A29" s="149"/>
      <c r="B29" s="44">
        <v>-0.27163923636616671</v>
      </c>
      <c r="C29" s="44">
        <v>-2.1034079501973242</v>
      </c>
      <c r="D29" s="40">
        <f t="shared" si="8"/>
        <v>-0.29717499146613341</v>
      </c>
      <c r="F29" s="47">
        <v>-0.24619387117648228</v>
      </c>
      <c r="G29" s="47">
        <v>-0.55479496747105317</v>
      </c>
      <c r="H29" s="40">
        <f t="shared" si="9"/>
        <v>-0.2344692353330419</v>
      </c>
      <c r="K29" s="49">
        <v>-0.16757212410551406</v>
      </c>
      <c r="L29" s="165">
        <v>-0.49724872450398283</v>
      </c>
      <c r="M29" s="40">
        <f>0.1116*L29- 0.1487</f>
        <v>-0.20419295765464449</v>
      </c>
    </row>
    <row r="30" spans="1:17">
      <c r="A30" s="149"/>
      <c r="B30" s="44">
        <v>-0.26114389783696601</v>
      </c>
      <c r="C30" s="44">
        <v>-1.851593935385683</v>
      </c>
      <c r="D30" s="40">
        <f t="shared" si="8"/>
        <v>-0.27020571047980663</v>
      </c>
      <c r="F30" s="47">
        <v>-0.22466676570436608</v>
      </c>
      <c r="G30" s="47">
        <v>-0.29976326732010111</v>
      </c>
      <c r="H30" s="40">
        <f t="shared" si="9"/>
        <v>-0.20179967454370495</v>
      </c>
      <c r="K30" s="49">
        <v>-0.1284128499043406</v>
      </c>
      <c r="L30" s="165">
        <v>0.37590056640310565</v>
      </c>
      <c r="M30" s="40">
        <f t="shared" ref="M28:M31" si="10">0.1116*L30- 0.1487</f>
        <v>-0.10674949678941341</v>
      </c>
    </row>
    <row r="31" spans="1:17">
      <c r="A31" s="149"/>
      <c r="B31" s="44">
        <v>-0.25225784454890937</v>
      </c>
      <c r="C31" s="44">
        <v>-1.7508322948561066</v>
      </c>
      <c r="D31" s="40">
        <f t="shared" si="8"/>
        <v>-0.25941413877908903</v>
      </c>
      <c r="F31" s="47">
        <v>-0.21277204870460525</v>
      </c>
      <c r="G31" s="47">
        <v>0.3168594766288898</v>
      </c>
      <c r="H31" s="40">
        <f t="shared" si="9"/>
        <v>-0.12281030104383921</v>
      </c>
      <c r="K31" s="49">
        <v>-8.3749353718964067E-2</v>
      </c>
      <c r="L31" s="165">
        <v>1.1493972097230305</v>
      </c>
      <c r="M31" s="40">
        <f>0.1116*L31- 0.1487</f>
        <v>-2.0427271394909796E-2</v>
      </c>
    </row>
    <row r="32" spans="1:17">
      <c r="A32" s="149"/>
      <c r="B32" s="44">
        <v>-0.22774539833959828</v>
      </c>
      <c r="C32" s="44">
        <v>-1.4396218400420642</v>
      </c>
      <c r="D32" s="40">
        <f t="shared" si="8"/>
        <v>-0.22608349906850506</v>
      </c>
      <c r="F32" s="47">
        <v>0.20179382319882416</v>
      </c>
      <c r="G32" s="47">
        <v>2.5511268972787171</v>
      </c>
      <c r="H32" s="40">
        <f t="shared" si="9"/>
        <v>0.16339935554140367</v>
      </c>
      <c r="M32" s="40"/>
    </row>
    <row r="33" spans="1:13">
      <c r="A33" s="149"/>
      <c r="B33" s="44">
        <v>-0.21634046380453351</v>
      </c>
      <c r="C33" s="44">
        <v>-1.0333232941402086</v>
      </c>
      <c r="D33" s="40">
        <f t="shared" si="8"/>
        <v>-0.18256892480241635</v>
      </c>
      <c r="F33" s="47">
        <v>0.9770261729146098</v>
      </c>
      <c r="G33" s="47">
        <v>7.6037712265537731</v>
      </c>
      <c r="H33" s="40">
        <f t="shared" si="9"/>
        <v>0.81064309412153823</v>
      </c>
      <c r="K33" s="143" t="s">
        <v>25</v>
      </c>
      <c r="L33" s="144"/>
      <c r="M33" s="60">
        <f>CORREL(K27:K32,L27:L32)*100</f>
        <v>98.640217174158664</v>
      </c>
    </row>
    <row r="34" spans="1:13">
      <c r="A34" s="149"/>
      <c r="B34" s="44">
        <v>-0.17734445042492539</v>
      </c>
      <c r="C34" s="44">
        <v>-0.65855749170198097</v>
      </c>
      <c r="D34" s="40">
        <f t="shared" si="8"/>
        <v>-0.14243150736128218</v>
      </c>
      <c r="F34" s="40"/>
      <c r="G34" s="40"/>
      <c r="H34" s="40"/>
    </row>
    <row r="35" spans="1:13">
      <c r="A35" s="149"/>
      <c r="B35" s="44">
        <v>-0.13547971118066909</v>
      </c>
      <c r="C35" s="44">
        <v>3.7715719416679144E-2</v>
      </c>
      <c r="D35" s="40">
        <f t="shared" si="8"/>
        <v>-6.7860646450473669E-2</v>
      </c>
      <c r="F35" s="127" t="s">
        <v>18</v>
      </c>
      <c r="G35" s="127"/>
      <c r="H35" s="60">
        <f>CORREL(F27:F33,G27:G33)*100</f>
        <v>99.434451844348914</v>
      </c>
    </row>
    <row r="36" spans="1:13">
      <c r="A36" s="149"/>
      <c r="B36" s="44">
        <v>0.31542335500830426</v>
      </c>
      <c r="C36" s="44">
        <v>3.1950334316235014</v>
      </c>
      <c r="D36" s="40">
        <f t="shared" si="8"/>
        <v>0.27028808052687697</v>
      </c>
    </row>
    <row r="37" spans="1:13">
      <c r="A37" s="149"/>
      <c r="B37" s="40"/>
      <c r="C37" s="40"/>
      <c r="D37" s="40"/>
    </row>
    <row r="38" spans="1:13">
      <c r="A38" s="149"/>
      <c r="B38" s="122" t="s">
        <v>14</v>
      </c>
      <c r="C38" s="123"/>
      <c r="D38" s="60">
        <f>CORREL(B27:B37,C27:C37)*100</f>
        <v>97.940787956971505</v>
      </c>
    </row>
    <row r="39" spans="1:13" ht="16.5" customHeight="1">
      <c r="A39" s="149"/>
    </row>
    <row r="40" spans="1:13">
      <c r="A40" s="149"/>
      <c r="B40" s="59" t="s">
        <v>34</v>
      </c>
      <c r="C40" s="59" t="s">
        <v>68</v>
      </c>
      <c r="D40" s="59" t="s">
        <v>69</v>
      </c>
      <c r="F40" s="59" t="s">
        <v>34</v>
      </c>
      <c r="G40" s="59" t="s">
        <v>68</v>
      </c>
      <c r="H40" s="59" t="s">
        <v>69</v>
      </c>
      <c r="K40" s="59" t="s">
        <v>34</v>
      </c>
      <c r="L40" s="59" t="s">
        <v>68</v>
      </c>
      <c r="M40" s="59" t="s">
        <v>69</v>
      </c>
    </row>
    <row r="41" spans="1:13">
      <c r="A41" s="149"/>
      <c r="B41" s="45">
        <v>-0.31439024864177778</v>
      </c>
      <c r="C41" s="45">
        <v>-2.7972874176072402</v>
      </c>
      <c r="D41" s="40">
        <f xml:space="preserve"> 0.1129*C41 - 0.1114</f>
        <v>-0.42721374944785739</v>
      </c>
      <c r="F41" s="89">
        <v>-0.26419920749768888</v>
      </c>
      <c r="G41" s="89">
        <v>-0.9595983143209601</v>
      </c>
      <c r="H41" s="40">
        <f xml:space="preserve"> 0.1281*G41 - 0.1634</f>
        <v>-0.28632454406451496</v>
      </c>
      <c r="K41" s="91">
        <v>-0.25445020415278685</v>
      </c>
      <c r="L41" s="91">
        <v>-0.68151448750369614</v>
      </c>
      <c r="M41" s="40">
        <f>0.1116*L41- 0.1487</f>
        <v>-0.22475701680541249</v>
      </c>
    </row>
    <row r="42" spans="1:13">
      <c r="A42" s="149"/>
      <c r="B42" s="45">
        <v>-0.28789534959917323</v>
      </c>
      <c r="C42" s="45">
        <v>-2.5985706477099093</v>
      </c>
      <c r="D42" s="40">
        <f t="shared" ref="D42:D50" si="11" xml:space="preserve"> 0.1129*C42 - 0.1114</f>
        <v>-0.40477862612644877</v>
      </c>
      <c r="F42" s="89">
        <v>-0.26305638174673146</v>
      </c>
      <c r="G42" s="89">
        <v>-0.94882769299042313</v>
      </c>
      <c r="H42" s="40">
        <f t="shared" ref="H42:H48" si="12" xml:space="preserve"> 0.1281*G42 - 0.1634</f>
        <v>-0.28494482747207317</v>
      </c>
      <c r="K42" s="91">
        <v>-0.20353615079890858</v>
      </c>
      <c r="L42" s="91">
        <v>-0.69388681323239954</v>
      </c>
      <c r="M42" s="40">
        <f t="shared" ref="M42:M45" si="13">0.1116*L42- 0.1487</f>
        <v>-0.2261377683567358</v>
      </c>
    </row>
    <row r="43" spans="1:13">
      <c r="A43" s="149"/>
      <c r="B43" s="45">
        <v>-0.26231004656243273</v>
      </c>
      <c r="C43" s="45">
        <v>-2.0764618262717542</v>
      </c>
      <c r="D43" s="40">
        <f t="shared" si="11"/>
        <v>-0.34583254018608106</v>
      </c>
      <c r="F43" s="89">
        <v>-0.20493552926946867</v>
      </c>
      <c r="G43" s="89">
        <v>-1.2480680117089513</v>
      </c>
      <c r="H43" s="40">
        <f t="shared" si="12"/>
        <v>-0.32327751229991664</v>
      </c>
      <c r="K43" s="91">
        <v>-0.19325071904029184</v>
      </c>
      <c r="L43" s="91">
        <v>0.30898579884631444</v>
      </c>
      <c r="M43" s="40">
        <f t="shared" si="13"/>
        <v>-0.1142171848487513</v>
      </c>
    </row>
    <row r="44" spans="1:13">
      <c r="A44" s="149"/>
      <c r="B44" s="45">
        <v>-0.23112722964345189</v>
      </c>
      <c r="C44" s="45">
        <v>-1.851547035970821</v>
      </c>
      <c r="D44" s="40">
        <f t="shared" si="11"/>
        <v>-0.32043966036110572</v>
      </c>
      <c r="F44" s="89">
        <v>-0.19045196209917165</v>
      </c>
      <c r="G44" s="89">
        <v>-0.59968572485967553</v>
      </c>
      <c r="H44" s="40">
        <f t="shared" si="12"/>
        <v>-0.24021974135452442</v>
      </c>
      <c r="K44" s="91">
        <v>-0.18060966685623228</v>
      </c>
      <c r="L44" s="91">
        <v>0.86349619903107178</v>
      </c>
      <c r="M44" s="40">
        <f t="shared" si="13"/>
        <v>-5.2333824188132386E-2</v>
      </c>
    </row>
    <row r="45" spans="1:13">
      <c r="A45" s="149"/>
      <c r="B45" s="45">
        <v>-0.20689465912825283</v>
      </c>
      <c r="C45" s="45">
        <v>-1.7395763225764946</v>
      </c>
      <c r="D45" s="40">
        <f t="shared" si="11"/>
        <v>-0.30779816681888628</v>
      </c>
      <c r="F45" s="89">
        <v>-0.1684117511878501</v>
      </c>
      <c r="G45" s="89">
        <v>-0.1771189834334522</v>
      </c>
      <c r="H45" s="40">
        <f t="shared" si="12"/>
        <v>-0.1860889417778252</v>
      </c>
      <c r="K45" s="91">
        <v>0.91298128491197583</v>
      </c>
      <c r="L45" s="91">
        <v>8.9903240447908779</v>
      </c>
      <c r="M45" s="40">
        <f t="shared" si="13"/>
        <v>0.85462016339866187</v>
      </c>
    </row>
    <row r="46" spans="1:13">
      <c r="A46" s="149"/>
      <c r="B46" s="45">
        <v>-0.19691242603825745</v>
      </c>
      <c r="C46" s="45">
        <v>-1.6411526287565255</v>
      </c>
      <c r="D46" s="40">
        <f t="shared" si="11"/>
        <v>-0.29668613178661174</v>
      </c>
      <c r="F46" s="89">
        <v>-0.10903145808708321</v>
      </c>
      <c r="G46" s="89">
        <v>0.12525722645591286</v>
      </c>
      <c r="H46" s="40">
        <f t="shared" si="12"/>
        <v>-0.14735454929099756</v>
      </c>
      <c r="M46" s="40"/>
    </row>
    <row r="47" spans="1:13">
      <c r="A47" s="149"/>
      <c r="B47" s="45">
        <v>-0.19234112303442777</v>
      </c>
      <c r="C47" s="45">
        <v>-1.8323977500500483</v>
      </c>
      <c r="D47" s="40">
        <f t="shared" si="11"/>
        <v>-0.31827770598065047</v>
      </c>
      <c r="F47" s="89">
        <v>-0.13247104746896488</v>
      </c>
      <c r="G47" s="89">
        <v>1.1626202285900762</v>
      </c>
      <c r="H47" s="40">
        <f t="shared" si="12"/>
        <v>-1.446834871761124E-2</v>
      </c>
      <c r="K47" s="145" t="s">
        <v>26</v>
      </c>
      <c r="L47" s="146"/>
      <c r="M47" s="60">
        <f>CORREL(K41:K45,L41:L45)*100</f>
        <v>99.204416421907609</v>
      </c>
    </row>
    <row r="48" spans="1:13">
      <c r="A48" s="149"/>
      <c r="B48" s="45">
        <v>-0.18172916963268038</v>
      </c>
      <c r="C48" s="45">
        <v>-8.4769290555582147E-2</v>
      </c>
      <c r="D48" s="40">
        <f t="shared" si="11"/>
        <v>-0.12097045290372523</v>
      </c>
      <c r="F48" s="89">
        <v>5.0824209199898815E-2</v>
      </c>
      <c r="G48" s="89">
        <v>3.6918213020393029</v>
      </c>
      <c r="H48" s="40">
        <f t="shared" si="12"/>
        <v>0.30952230879123466</v>
      </c>
    </row>
    <row r="49" spans="1:20">
      <c r="A49" s="149"/>
      <c r="B49" s="45">
        <v>3.5757567666868391E-2</v>
      </c>
      <c r="C49" s="45">
        <v>1.2785616336903103</v>
      </c>
      <c r="D49" s="40">
        <f t="shared" si="11"/>
        <v>3.2949608443636036E-2</v>
      </c>
      <c r="H49" s="40"/>
    </row>
    <row r="50" spans="1:20">
      <c r="A50" s="149"/>
      <c r="B50" s="45">
        <v>0.14971362111947917</v>
      </c>
      <c r="C50" s="45">
        <v>0.25690097879656837</v>
      </c>
      <c r="D50" s="40">
        <f t="shared" si="11"/>
        <v>-8.2395879493867424E-2</v>
      </c>
      <c r="F50" s="147" t="s">
        <v>19</v>
      </c>
      <c r="G50" s="147"/>
      <c r="H50" s="60">
        <f>CORREL(F41:F48,G41:G48)*100</f>
        <v>93.96776592218707</v>
      </c>
    </row>
    <row r="51" spans="1:20">
      <c r="A51" s="149"/>
      <c r="B51" s="126" t="s">
        <v>11</v>
      </c>
      <c r="C51" s="126"/>
      <c r="D51" s="60">
        <f>CORREL(B41:B50,C41:C50)*100</f>
        <v>86.625272926159568</v>
      </c>
    </row>
    <row r="52" spans="1:20" ht="15" customHeight="1">
      <c r="A52" s="149"/>
    </row>
    <row r="53" spans="1:20" ht="18.75">
      <c r="A53" s="64"/>
      <c r="B53" s="150" t="s">
        <v>67</v>
      </c>
      <c r="C53" s="150"/>
      <c r="D53" s="150"/>
      <c r="E53" s="150"/>
      <c r="F53" s="150"/>
      <c r="G53" s="150"/>
      <c r="H53" s="150"/>
    </row>
    <row r="55" spans="1:20">
      <c r="B55" s="133" t="s">
        <v>66</v>
      </c>
      <c r="C55" s="133"/>
      <c r="D55" s="133"/>
      <c r="E55" s="133"/>
      <c r="F55" s="133"/>
      <c r="G55" s="133"/>
      <c r="H55" s="133"/>
      <c r="I55" s="133"/>
      <c r="J55" s="167"/>
      <c r="K55" s="167"/>
      <c r="L55" s="167"/>
      <c r="M55" s="167"/>
    </row>
    <row r="56" spans="1:20">
      <c r="B56" s="65" t="s">
        <v>29</v>
      </c>
      <c r="C56" s="65" t="s">
        <v>30</v>
      </c>
      <c r="D56" s="65" t="s">
        <v>31</v>
      </c>
      <c r="E56" s="74"/>
      <c r="F56" s="74"/>
      <c r="G56" s="74"/>
      <c r="H56" s="83" t="s">
        <v>87</v>
      </c>
      <c r="I56" s="83" t="s">
        <v>35</v>
      </c>
      <c r="J56" s="74"/>
      <c r="K56" s="52"/>
    </row>
    <row r="57" spans="1:20">
      <c r="A57" s="17" t="s">
        <v>37</v>
      </c>
      <c r="B57" s="169">
        <v>0.78869999999999996</v>
      </c>
      <c r="C57" s="72">
        <v>9.8799999999999999E-2</v>
      </c>
      <c r="D57" s="74">
        <v>-0.60670000000000002</v>
      </c>
      <c r="E57" s="74"/>
      <c r="F57" s="74"/>
      <c r="G57" s="74"/>
      <c r="H57" s="80">
        <f>D57/SUM(D57:D59)</f>
        <v>0.97243147940375063</v>
      </c>
      <c r="I57" s="80">
        <f>D65*H57</f>
        <v>86.549643105198484</v>
      </c>
      <c r="J57" s="74"/>
      <c r="K57" s="52"/>
      <c r="R57" s="25" t="s">
        <v>89</v>
      </c>
      <c r="S57" s="25" t="s">
        <v>78</v>
      </c>
    </row>
    <row r="58" spans="1:20">
      <c r="A58" s="17" t="s">
        <v>48</v>
      </c>
      <c r="B58" s="169">
        <v>-0.51870000000000005</v>
      </c>
      <c r="C58" s="72">
        <v>0.63670000000000004</v>
      </c>
      <c r="D58" s="72">
        <v>-0.5706</v>
      </c>
      <c r="E58" s="74"/>
      <c r="F58" s="74"/>
      <c r="G58" s="74"/>
      <c r="H58" s="84">
        <f>D58/SUM(D57:D59)</f>
        <v>0.91456964257092477</v>
      </c>
      <c r="I58" s="84">
        <f>H58*D65</f>
        <v>81.399746754287534</v>
      </c>
      <c r="J58" s="74"/>
      <c r="K58" s="79"/>
      <c r="Q58" s="25" t="str">
        <f>"0025E2"</f>
        <v>0025E2</v>
      </c>
      <c r="R58" s="54">
        <v>96.82</v>
      </c>
      <c r="S58" s="54">
        <f>(R58+R59)/2</f>
        <v>97.34</v>
      </c>
      <c r="T58" t="s">
        <v>79</v>
      </c>
    </row>
    <row r="59" spans="1:20">
      <c r="A59" s="17" t="s">
        <v>74</v>
      </c>
      <c r="B59" s="169">
        <v>0.33</v>
      </c>
      <c r="C59" s="72">
        <v>0.76480000000000004</v>
      </c>
      <c r="D59" s="72">
        <v>0.5534</v>
      </c>
      <c r="E59" s="74"/>
      <c r="F59" s="74"/>
      <c r="G59" s="74"/>
      <c r="H59" s="80">
        <f>D59/SUM(D57:D59)</f>
        <v>-0.8870011219746754</v>
      </c>
      <c r="I59" s="80">
        <f>H59*D65</f>
        <v>-78.946056526152688</v>
      </c>
      <c r="J59" s="74"/>
      <c r="K59" s="63"/>
      <c r="Q59" s="25" t="str">
        <f>"0025E4"</f>
        <v>0025E4</v>
      </c>
      <c r="R59" s="54">
        <v>97.86</v>
      </c>
      <c r="S59" s="54"/>
    </row>
    <row r="60" spans="1:20">
      <c r="A60" s="24"/>
      <c r="B60" s="74"/>
      <c r="C60" s="74"/>
      <c r="D60" s="74"/>
      <c r="E60" s="74"/>
      <c r="F60" s="74"/>
      <c r="G60" s="74"/>
      <c r="H60" s="74"/>
      <c r="I60" s="74"/>
      <c r="J60" s="74"/>
      <c r="K60" s="63"/>
      <c r="Q60" s="25" t="str">
        <f>"0244E1"</f>
        <v>0244E1</v>
      </c>
      <c r="R60" s="54">
        <v>97.94</v>
      </c>
      <c r="S60" s="54">
        <f>R60</f>
        <v>97.94</v>
      </c>
      <c r="T60" t="s">
        <v>80</v>
      </c>
    </row>
    <row r="61" spans="1:20">
      <c r="A61" s="24"/>
      <c r="B61" s="72"/>
      <c r="C61" s="72"/>
      <c r="D61" s="72"/>
      <c r="E61" s="72"/>
      <c r="F61" s="72"/>
      <c r="G61" s="72"/>
      <c r="H61" s="72"/>
      <c r="I61" s="72"/>
      <c r="J61" s="72"/>
      <c r="K61" s="69"/>
      <c r="Q61" s="25" t="str">
        <f>"0374E3"</f>
        <v>0374E3</v>
      </c>
      <c r="R61" s="54">
        <v>86.63</v>
      </c>
      <c r="S61" s="54">
        <f>R61</f>
        <v>86.63</v>
      </c>
      <c r="T61" t="s">
        <v>81</v>
      </c>
    </row>
    <row r="62" spans="1:20">
      <c r="A62" s="24"/>
      <c r="B62" s="132" t="s">
        <v>91</v>
      </c>
      <c r="C62" s="132"/>
      <c r="D62" s="132"/>
      <c r="E62" s="72"/>
      <c r="F62" s="72"/>
      <c r="G62" s="72"/>
      <c r="H62" s="72"/>
      <c r="I62" s="72"/>
      <c r="J62" s="74"/>
      <c r="K62" s="69"/>
      <c r="L62" s="69"/>
      <c r="M62" s="69"/>
      <c r="Q62" s="25" t="str">
        <f>"0429E2"</f>
        <v>0429E2</v>
      </c>
      <c r="R62" s="54">
        <v>90.15</v>
      </c>
      <c r="S62" s="54">
        <f>(R62+R63)/2</f>
        <v>94.705000000000013</v>
      </c>
      <c r="T62" t="s">
        <v>82</v>
      </c>
    </row>
    <row r="63" spans="1:20">
      <c r="A63" s="24"/>
      <c r="C63" s="78"/>
      <c r="D63" s="80"/>
      <c r="E63" s="80"/>
      <c r="F63" s="80"/>
      <c r="G63" s="72"/>
      <c r="H63" s="72"/>
      <c r="I63" s="72"/>
      <c r="J63" s="74"/>
      <c r="K63" s="69"/>
      <c r="L63" s="69"/>
      <c r="M63" s="69"/>
      <c r="Q63" s="25" t="str">
        <f>"0429E4"</f>
        <v>0429E4</v>
      </c>
      <c r="R63" s="54">
        <v>99.26</v>
      </c>
      <c r="S63" s="54"/>
    </row>
    <row r="64" spans="1:20">
      <c r="A64" s="24" t="s">
        <v>51</v>
      </c>
      <c r="B64">
        <v>2.2599999999999999E-2</v>
      </c>
      <c r="C64" s="77">
        <v>0.30730000000000002</v>
      </c>
      <c r="D64" s="80">
        <v>2.6701000000000001</v>
      </c>
      <c r="E64" s="72"/>
      <c r="F64" s="72"/>
      <c r="G64" s="72"/>
      <c r="H64" s="72"/>
      <c r="I64" s="72"/>
      <c r="J64" s="72"/>
      <c r="K64" s="63"/>
      <c r="L64" s="63"/>
      <c r="M64" s="63"/>
      <c r="Q64" s="25" t="str">
        <f>"0532E1"</f>
        <v>0532E1</v>
      </c>
      <c r="R64" s="54">
        <v>99.43</v>
      </c>
      <c r="S64" s="54">
        <f>(R64+R65)/2</f>
        <v>96.7</v>
      </c>
      <c r="T64" t="s">
        <v>83</v>
      </c>
    </row>
    <row r="65" spans="1:21">
      <c r="A65" s="24" t="s">
        <v>52</v>
      </c>
      <c r="B65" s="54">
        <f>B64/SUM(B64:F64)*100</f>
        <v>0.7533333333333333</v>
      </c>
      <c r="C65" s="168">
        <f>C64/SUM(B64:F64)*100</f>
        <v>10.243333333333334</v>
      </c>
      <c r="D65" s="168">
        <f>D64/SUM(B64:F64)*100</f>
        <v>89.00333333333333</v>
      </c>
      <c r="E65" s="53"/>
      <c r="F65" s="53"/>
      <c r="G65" s="53"/>
      <c r="H65" s="68"/>
      <c r="I65" s="70"/>
      <c r="J65" s="63"/>
      <c r="K65" s="63"/>
      <c r="L65" s="63"/>
      <c r="M65" s="63"/>
      <c r="Q65" s="25" t="str">
        <f>"0532E4"</f>
        <v>0532E4</v>
      </c>
      <c r="R65" s="54">
        <v>93.97</v>
      </c>
      <c r="S65" s="54"/>
    </row>
    <row r="66" spans="1:21">
      <c r="A66" s="24"/>
      <c r="B66" s="132" t="s">
        <v>90</v>
      </c>
      <c r="C66" s="132"/>
      <c r="D66" s="132"/>
      <c r="E66" s="132"/>
      <c r="F66" s="132"/>
      <c r="G66" s="53"/>
      <c r="H66" s="68"/>
      <c r="I66" s="70"/>
      <c r="J66" s="63"/>
      <c r="K66" s="63"/>
      <c r="L66" s="80"/>
      <c r="M66" s="80"/>
      <c r="Q66" s="25" t="str">
        <f>"0575E2"</f>
        <v>0575E2</v>
      </c>
      <c r="R66" s="54">
        <v>99.52</v>
      </c>
      <c r="S66" s="54">
        <f>(R66+R67)/2</f>
        <v>99.16</v>
      </c>
      <c r="T66" t="s">
        <v>84</v>
      </c>
    </row>
    <row r="67" spans="1:21">
      <c r="A67" s="76"/>
      <c r="B67" s="54"/>
      <c r="C67" s="81"/>
      <c r="D67" s="82"/>
      <c r="E67" s="82"/>
      <c r="F67" s="82"/>
      <c r="G67" s="63"/>
      <c r="H67" s="63"/>
      <c r="I67" s="63"/>
      <c r="J67" s="63"/>
      <c r="K67" s="63"/>
      <c r="L67" s="80"/>
      <c r="M67" s="80"/>
      <c r="Q67" s="25" t="str">
        <f>"0575E4"</f>
        <v>0575E4</v>
      </c>
      <c r="R67" s="54">
        <v>98.8</v>
      </c>
      <c r="S67" s="54"/>
    </row>
    <row r="68" spans="1:21">
      <c r="E68" s="39"/>
      <c r="F68" s="39"/>
      <c r="G68" s="39"/>
      <c r="H68" s="39"/>
      <c r="I68" s="39"/>
      <c r="Q68" s="25" t="str">
        <f>"0639E1"</f>
        <v>0639E1</v>
      </c>
      <c r="R68" s="54">
        <v>98.64</v>
      </c>
      <c r="S68" s="54">
        <f>(R68+R69)/2</f>
        <v>98.92</v>
      </c>
      <c r="T68" t="s">
        <v>85</v>
      </c>
    </row>
    <row r="69" spans="1:21">
      <c r="E69" s="39"/>
      <c r="F69" s="39"/>
      <c r="G69" s="39"/>
      <c r="H69" s="39"/>
      <c r="I69" s="39"/>
      <c r="Q69" s="25" t="str">
        <f>"0639E4"</f>
        <v>0639E4</v>
      </c>
      <c r="R69" s="54">
        <v>99.2</v>
      </c>
      <c r="S69" s="54"/>
    </row>
    <row r="70" spans="1:21">
      <c r="A70" s="132" t="s">
        <v>88</v>
      </c>
      <c r="B70" s="132"/>
      <c r="C70" s="132"/>
      <c r="D70" s="132"/>
      <c r="E70" s="132"/>
      <c r="F70" s="132"/>
      <c r="G70" s="132"/>
      <c r="H70" s="132"/>
      <c r="I70" s="132"/>
      <c r="J70" s="159"/>
      <c r="K70" s="159"/>
      <c r="L70" s="159"/>
      <c r="M70" s="159"/>
      <c r="N70" s="159"/>
      <c r="O70" s="159"/>
      <c r="Q70" s="25" t="str">
        <f>"0699E1"</f>
        <v>0699E1</v>
      </c>
      <c r="R70" s="54">
        <v>97.34</v>
      </c>
      <c r="S70" s="54">
        <f>(R70+R71)/2</f>
        <v>96.039999999999992</v>
      </c>
      <c r="T70" t="s">
        <v>86</v>
      </c>
    </row>
    <row r="71" spans="1:21">
      <c r="D71" s="96"/>
      <c r="E71" s="96"/>
      <c r="F71" s="96"/>
      <c r="G71" s="96"/>
      <c r="H71" s="96"/>
      <c r="I71" s="96"/>
      <c r="J71" s="96"/>
      <c r="K71" s="96"/>
      <c r="L71" s="96"/>
      <c r="Q71" s="25" t="str">
        <f>"0699E3"</f>
        <v>0699E3</v>
      </c>
      <c r="R71" s="54">
        <v>94.74</v>
      </c>
      <c r="S71" s="54"/>
      <c r="U71" s="54"/>
    </row>
    <row r="72" spans="1:21">
      <c r="D72" s="96"/>
      <c r="E72" s="96"/>
      <c r="F72" s="96"/>
      <c r="G72" s="96"/>
      <c r="H72" s="96"/>
      <c r="I72" s="96"/>
      <c r="J72" s="96"/>
      <c r="K72" s="96"/>
      <c r="L72" s="96"/>
      <c r="S72" s="54"/>
      <c r="U72" s="54"/>
    </row>
    <row r="73" spans="1:21">
      <c r="B73" s="17"/>
      <c r="C73" s="17" t="s">
        <v>37</v>
      </c>
      <c r="D73" s="17" t="s">
        <v>48</v>
      </c>
      <c r="E73" s="17" t="s">
        <v>74</v>
      </c>
      <c r="F73" s="96"/>
      <c r="G73" s="96"/>
      <c r="S73" s="54"/>
    </row>
    <row r="74" spans="1:21">
      <c r="B74" s="17" t="s">
        <v>37</v>
      </c>
      <c r="C74" s="101">
        <v>1</v>
      </c>
      <c r="D74" s="115">
        <v>0.9345</v>
      </c>
      <c r="E74" s="155">
        <v>-0.86750000000000005</v>
      </c>
      <c r="F74" s="96"/>
      <c r="G74" s="96"/>
      <c r="S74" s="54"/>
    </row>
    <row r="75" spans="1:21">
      <c r="B75" s="17" t="s">
        <v>48</v>
      </c>
      <c r="C75" s="115">
        <v>0.9345</v>
      </c>
      <c r="D75" s="101">
        <v>1</v>
      </c>
      <c r="E75" s="166">
        <v>-0.69740000000000002</v>
      </c>
      <c r="F75" s="96"/>
      <c r="G75" s="96"/>
      <c r="S75" s="54"/>
    </row>
    <row r="76" spans="1:21">
      <c r="B76" s="17" t="s">
        <v>74</v>
      </c>
      <c r="C76" s="155">
        <v>-0.86750000000000005</v>
      </c>
      <c r="D76" s="166">
        <v>-0.69740000000000002</v>
      </c>
      <c r="E76" s="101">
        <v>1</v>
      </c>
      <c r="F76" s="96"/>
      <c r="G76" s="96"/>
      <c r="S76" s="54"/>
    </row>
    <row r="77" spans="1:21">
      <c r="G77" s="96"/>
      <c r="S77" s="54"/>
    </row>
    <row r="78" spans="1:21">
      <c r="G78" s="96"/>
      <c r="S78" s="54"/>
    </row>
    <row r="79" spans="1:21">
      <c r="B79" s="132" t="s">
        <v>53</v>
      </c>
      <c r="C79" s="132"/>
      <c r="D79" s="132"/>
      <c r="E79" s="132"/>
      <c r="S79" s="54"/>
    </row>
    <row r="80" spans="1:21">
      <c r="S80" s="54"/>
    </row>
    <row r="81" spans="6:19">
      <c r="F81" s="62"/>
      <c r="G81" s="62"/>
      <c r="S81" s="54"/>
    </row>
    <row r="82" spans="6:19">
      <c r="F82" s="63"/>
      <c r="G82" s="63"/>
      <c r="H82" s="63"/>
      <c r="S82" s="54"/>
    </row>
    <row r="83" spans="6:19">
      <c r="F83" s="63"/>
      <c r="G83" s="131" t="s">
        <v>77</v>
      </c>
      <c r="H83" s="131"/>
      <c r="I83" s="131"/>
      <c r="J83" s="131"/>
      <c r="K83" s="131"/>
      <c r="L83" s="131"/>
      <c r="M83" s="131"/>
      <c r="N83" s="131"/>
      <c r="O83" s="131"/>
      <c r="P83" s="131"/>
      <c r="S83" s="54"/>
    </row>
    <row r="84" spans="6:19">
      <c r="F84" s="63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30" t="s">
        <v>65</v>
      </c>
      <c r="R84" s="130"/>
      <c r="S84" s="130"/>
    </row>
    <row r="85" spans="6:19">
      <c r="F85" s="63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30"/>
      <c r="R85" s="130"/>
      <c r="S85" s="130"/>
    </row>
    <row r="86" spans="6:19">
      <c r="F86" s="63"/>
      <c r="G86" s="63"/>
      <c r="H86" s="63"/>
      <c r="I86" s="63"/>
      <c r="J86" s="63"/>
      <c r="K86" s="63"/>
      <c r="L86" s="63"/>
      <c r="M86" s="63"/>
      <c r="N86" s="62"/>
    </row>
    <row r="87" spans="6:19">
      <c r="F87" s="63"/>
      <c r="G87" s="63"/>
      <c r="H87" s="63"/>
      <c r="I87" s="63"/>
      <c r="J87" s="63"/>
      <c r="K87" s="63"/>
    </row>
    <row r="88" spans="6:19">
      <c r="F88" s="63"/>
      <c r="G88" s="63"/>
      <c r="H88" s="63"/>
      <c r="I88" s="63"/>
      <c r="J88" s="63"/>
      <c r="K88" s="63"/>
    </row>
    <row r="89" spans="6:19">
      <c r="F89" s="62"/>
      <c r="G89" s="62"/>
      <c r="J89" s="62"/>
      <c r="K89" s="62"/>
    </row>
  </sheetData>
  <mergeCells count="26">
    <mergeCell ref="B79:E79"/>
    <mergeCell ref="B62:D62"/>
    <mergeCell ref="A70:I70"/>
    <mergeCell ref="B55:I55"/>
    <mergeCell ref="B66:F66"/>
    <mergeCell ref="O11:P11"/>
    <mergeCell ref="O25:P25"/>
    <mergeCell ref="F24:G24"/>
    <mergeCell ref="K11:L11"/>
    <mergeCell ref="K23:L23"/>
    <mergeCell ref="K33:L33"/>
    <mergeCell ref="K47:L47"/>
    <mergeCell ref="F50:G50"/>
    <mergeCell ref="A1:A52"/>
    <mergeCell ref="B53:H53"/>
    <mergeCell ref="B24:C24"/>
    <mergeCell ref="G84:P84"/>
    <mergeCell ref="G85:P85"/>
    <mergeCell ref="Q84:S84"/>
    <mergeCell ref="Q85:S85"/>
    <mergeCell ref="G83:P83"/>
    <mergeCell ref="B38:C38"/>
    <mergeCell ref="F10:G10"/>
    <mergeCell ref="B12:C12"/>
    <mergeCell ref="B51:C51"/>
    <mergeCell ref="F35:G3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M1"/>
  <sheetViews>
    <sheetView tabSelected="1" workbookViewId="0">
      <selection activeCell="O8" sqref="O8"/>
    </sheetView>
  </sheetViews>
  <sheetFormatPr baseColWidth="10" defaultRowHeight="15"/>
  <sheetData>
    <row r="1" spans="2:13" ht="33.75" customHeight="1">
      <c r="B1" s="153" t="s">
        <v>72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</row>
  </sheetData>
  <mergeCells count="1">
    <mergeCell ref="B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I40" sqref="I40"/>
    </sheetView>
  </sheetViews>
  <sheetFormatPr baseColWidth="10" defaultRowHeight="15"/>
  <sheetData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8" sqref="M8"/>
    </sheetView>
  </sheetViews>
  <sheetFormatPr baseColWidth="10"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19" sqref="M19"/>
    </sheetView>
  </sheetViews>
  <sheetFormatPr baseColWidth="10"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90" zoomScaleNormal="90" workbookViewId="0">
      <selection activeCell="J59" sqref="J59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16" sqref="N16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opLeftCell="B1" zoomScale="95" zoomScaleNormal="95" workbookViewId="0">
      <selection activeCell="G66" sqref="G66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52" sqref="N52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opLeftCell="A25" workbookViewId="0">
      <selection activeCell="P45" sqref="P45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6" sqref="K26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résultats</vt:lpstr>
      <vt:lpstr>reduite</vt:lpstr>
      <vt:lpstr>corr_matrix</vt:lpstr>
      <vt:lpstr>vbmax</vt:lpstr>
      <vt:lpstr>courbes_vb_cp</vt:lpstr>
      <vt:lpstr>R</vt:lpstr>
      <vt:lpstr>P</vt:lpstr>
      <vt:lpstr>N</vt:lpstr>
      <vt:lpstr>Fpn</vt:lpstr>
      <vt:lpstr>Fp</vt:lpstr>
      <vt:lpstr>Fs</vt:lpstr>
      <vt:lpstr>Fz</vt:lpstr>
      <vt:lpstr>beta</vt:lpstr>
      <vt:lpstr>EAA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2012-06-19T10:01:25Z</dcterms:modified>
</cp:coreProperties>
</file>