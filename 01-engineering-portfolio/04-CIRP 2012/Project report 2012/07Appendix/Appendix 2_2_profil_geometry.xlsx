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 activeTab="4"/>
  </bookViews>
  <sheets>
    <sheet name="schema" sheetId="5" r:id="rId1"/>
    <sheet name="complete data" sheetId="1" r:id="rId2"/>
    <sheet name="8 preparation comparaison" sheetId="6" r:id="rId3"/>
    <sheet name="final results of profiles" sheetId="8" r:id="rId4"/>
    <sheet name="rb" sheetId="9" r:id="rId5"/>
  </sheets>
  <calcPr calcId="125725"/>
</workbook>
</file>

<file path=xl/calcChain.xml><?xml version="1.0" encoding="utf-8"?>
<calcChain xmlns="http://schemas.openxmlformats.org/spreadsheetml/2006/main">
  <c r="H31" i="9"/>
  <c r="K32"/>
  <c r="J34"/>
  <c r="K34"/>
  <c r="L34"/>
  <c r="M34"/>
  <c r="M33"/>
  <c r="L33"/>
  <c r="K33"/>
  <c r="J33"/>
  <c r="J32"/>
  <c r="L32"/>
  <c r="M32"/>
  <c r="L31"/>
  <c r="M31"/>
  <c r="K31"/>
  <c r="J31"/>
  <c r="I31"/>
  <c r="F31"/>
  <c r="K27"/>
  <c r="J27"/>
  <c r="L27"/>
  <c r="M27"/>
  <c r="M26"/>
  <c r="L26"/>
  <c r="K26"/>
  <c r="J26"/>
  <c r="M25"/>
  <c r="M24"/>
  <c r="L25"/>
  <c r="L24"/>
  <c r="K25"/>
  <c r="K24"/>
  <c r="J25"/>
  <c r="J24"/>
  <c r="P19" i="1"/>
  <c r="P16"/>
  <c r="D36"/>
  <c r="F34" i="9"/>
  <c r="G34"/>
  <c r="I34"/>
  <c r="H34"/>
  <c r="I33"/>
  <c r="H33"/>
  <c r="G33"/>
  <c r="F33"/>
  <c r="I32"/>
  <c r="H32"/>
  <c r="G32"/>
  <c r="F32"/>
  <c r="G31"/>
  <c r="D22" i="8"/>
  <c r="C22"/>
  <c r="D36" i="6"/>
  <c r="AF19" i="1"/>
  <c r="AF10"/>
  <c r="AF47"/>
  <c r="AF41"/>
  <c r="AF38"/>
  <c r="AE19"/>
  <c r="AE10"/>
  <c r="AE47"/>
  <c r="AE38"/>
  <c r="AD19"/>
  <c r="AD13"/>
  <c r="AD10"/>
  <c r="AD47"/>
  <c r="AD38"/>
  <c r="AB10"/>
  <c r="AC19"/>
  <c r="AC10"/>
  <c r="AC47"/>
  <c r="AC38"/>
  <c r="AB47"/>
  <c r="AB38"/>
  <c r="AA19"/>
  <c r="AA10"/>
  <c r="AA47"/>
  <c r="AA38"/>
  <c r="Y18"/>
  <c r="Z19"/>
  <c r="Z10"/>
  <c r="AB19"/>
  <c r="Z47"/>
  <c r="Z38"/>
  <c r="Y19"/>
  <c r="Y10"/>
  <c r="Y47"/>
  <c r="Y41"/>
  <c r="Y38"/>
  <c r="T19"/>
  <c r="T10"/>
  <c r="S19"/>
  <c r="S10"/>
  <c r="S47"/>
  <c r="S38"/>
  <c r="R19"/>
  <c r="R10"/>
  <c r="R47"/>
  <c r="R38"/>
  <c r="Q19"/>
  <c r="Q10"/>
  <c r="Q47"/>
  <c r="Q38"/>
  <c r="P47"/>
  <c r="P38"/>
  <c r="O19"/>
  <c r="O10"/>
  <c r="O47"/>
  <c r="O38"/>
  <c r="E38"/>
  <c r="N19"/>
  <c r="N10"/>
  <c r="N47"/>
  <c r="N38"/>
  <c r="M19"/>
  <c r="M10"/>
  <c r="M47"/>
  <c r="M38"/>
  <c r="L19"/>
  <c r="L10"/>
  <c r="L47"/>
  <c r="L38"/>
  <c r="K19"/>
  <c r="K10"/>
  <c r="K47"/>
  <c r="K38"/>
  <c r="X19"/>
  <c r="X10"/>
  <c r="W19"/>
  <c r="W10"/>
  <c r="X47"/>
  <c r="X37"/>
  <c r="X38"/>
  <c r="W47"/>
  <c r="W38"/>
  <c r="W37"/>
  <c r="V47"/>
  <c r="V19"/>
  <c r="V10"/>
  <c r="V38"/>
  <c r="U47"/>
  <c r="U38"/>
  <c r="T47"/>
  <c r="T38"/>
  <c r="I19"/>
  <c r="I10"/>
  <c r="I47"/>
  <c r="I38"/>
  <c r="J19"/>
  <c r="J10"/>
  <c r="J47"/>
  <c r="J38"/>
  <c r="G19"/>
  <c r="H19"/>
  <c r="H10"/>
  <c r="H47"/>
  <c r="H38"/>
  <c r="G10"/>
  <c r="D48" i="6"/>
  <c r="C48"/>
  <c r="Z37" i="1"/>
  <c r="J39"/>
  <c r="G47"/>
  <c r="G38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C36"/>
  <c r="AC36"/>
  <c r="AD36"/>
  <c r="AE36"/>
  <c r="AF36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Y37"/>
  <c r="AA37"/>
  <c r="AB37"/>
  <c r="AC37"/>
  <c r="AD37"/>
  <c r="AE37"/>
  <c r="AF37"/>
  <c r="D38"/>
  <c r="F38"/>
  <c r="C39"/>
  <c r="D39"/>
  <c r="E39"/>
  <c r="F39"/>
  <c r="G39"/>
  <c r="H39"/>
  <c r="I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S40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D47"/>
  <c r="E47"/>
  <c r="F47"/>
  <c r="E19"/>
  <c r="F19"/>
  <c r="D19"/>
  <c r="C11"/>
  <c r="C8"/>
  <c r="F10"/>
  <c r="E10"/>
  <c r="C14"/>
  <c r="D10"/>
  <c r="D9"/>
  <c r="AF11"/>
  <c r="AE11"/>
  <c r="AD11"/>
  <c r="AC11"/>
  <c r="AB11"/>
  <c r="AA11"/>
  <c r="Z11"/>
  <c r="Y11"/>
  <c r="X11"/>
  <c r="W11"/>
  <c r="V11"/>
  <c r="U11"/>
  <c r="T11"/>
  <c r="S11"/>
  <c r="R11"/>
  <c r="Q11"/>
  <c r="O11"/>
  <c r="N11"/>
  <c r="M11"/>
  <c r="L11"/>
  <c r="K11"/>
  <c r="J11"/>
  <c r="I11"/>
  <c r="H11"/>
  <c r="G11"/>
  <c r="F11"/>
  <c r="AF8"/>
  <c r="AF14"/>
  <c r="AF17"/>
  <c r="AE8"/>
  <c r="AE14"/>
  <c r="AE17"/>
  <c r="AD8"/>
  <c r="AD14"/>
  <c r="AD17"/>
  <c r="AC8"/>
  <c r="AC14"/>
  <c r="AC17"/>
  <c r="AB8"/>
  <c r="AB14"/>
  <c r="AB17"/>
  <c r="AA8"/>
  <c r="AA14"/>
  <c r="AA17"/>
  <c r="Z8"/>
  <c r="Z14"/>
  <c r="Z17"/>
  <c r="Y8"/>
  <c r="Y14"/>
  <c r="Y17"/>
  <c r="X8"/>
  <c r="X14"/>
  <c r="X17"/>
  <c r="H8"/>
  <c r="H14"/>
  <c r="H17"/>
  <c r="F8"/>
  <c r="AF15"/>
  <c r="AF18"/>
  <c r="AE15"/>
  <c r="AE18"/>
  <c r="AD15"/>
  <c r="AD18"/>
  <c r="AC15"/>
  <c r="AC18"/>
  <c r="AB15"/>
  <c r="AB18"/>
  <c r="AA15"/>
  <c r="AA18"/>
  <c r="Z15"/>
  <c r="Z18"/>
  <c r="Y15"/>
  <c r="X15"/>
  <c r="X18"/>
  <c r="W15"/>
  <c r="W18"/>
  <c r="V15"/>
  <c r="V18"/>
  <c r="U15"/>
  <c r="U18"/>
  <c r="T15"/>
  <c r="T18"/>
  <c r="S15"/>
  <c r="S18"/>
  <c r="R15"/>
  <c r="R18"/>
  <c r="Q15"/>
  <c r="Q18"/>
  <c r="P15"/>
  <c r="P18"/>
  <c r="O15"/>
  <c r="O18"/>
  <c r="N15"/>
  <c r="N18"/>
  <c r="M15"/>
  <c r="M18"/>
  <c r="L15"/>
  <c r="L18"/>
  <c r="K15"/>
  <c r="K18"/>
  <c r="J15"/>
  <c r="J18"/>
  <c r="I15"/>
  <c r="I18"/>
  <c r="H15"/>
  <c r="H18"/>
  <c r="G15"/>
  <c r="G18"/>
  <c r="F15"/>
  <c r="F18"/>
  <c r="E15"/>
  <c r="E18"/>
  <c r="D15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P11"/>
  <c r="J8"/>
  <c r="J14"/>
  <c r="J17"/>
  <c r="I8"/>
  <c r="I14"/>
  <c r="I17"/>
  <c r="L8"/>
  <c r="L14"/>
  <c r="L17"/>
  <c r="K8"/>
  <c r="K14"/>
  <c r="K17"/>
  <c r="N8"/>
  <c r="N14"/>
  <c r="N17"/>
  <c r="M8"/>
  <c r="M14"/>
  <c r="M17"/>
  <c r="P8"/>
  <c r="O8"/>
  <c r="O14"/>
  <c r="O17"/>
  <c r="R8"/>
  <c r="R14"/>
  <c r="R17"/>
  <c r="Q8"/>
  <c r="T8"/>
  <c r="T14"/>
  <c r="T17"/>
  <c r="S8"/>
  <c r="V8"/>
  <c r="V14"/>
  <c r="V17"/>
  <c r="U8"/>
  <c r="W8"/>
  <c r="W14"/>
  <c r="W17"/>
  <c r="G8"/>
  <c r="G14"/>
  <c r="G17"/>
  <c r="E8"/>
  <c r="E11"/>
  <c r="D11"/>
  <c r="D14"/>
  <c r="D8"/>
  <c r="D18"/>
  <c r="C17"/>
  <c r="U14"/>
  <c r="U17"/>
  <c r="S14"/>
  <c r="S17"/>
  <c r="F14"/>
  <c r="F17"/>
  <c r="P14"/>
  <c r="P17"/>
  <c r="Q14"/>
  <c r="Q17"/>
  <c r="D17"/>
  <c r="E14"/>
  <c r="E17"/>
</calcChain>
</file>

<file path=xl/comments1.xml><?xml version="1.0" encoding="utf-8"?>
<comments xmlns="http://schemas.openxmlformats.org/spreadsheetml/2006/main">
  <authors>
    <author>Auteur</author>
  </authors>
  <commentList>
    <comment ref="K4" authorId="0">
      <text>
        <r>
          <rPr>
            <b/>
            <sz val="9"/>
            <color indexed="81"/>
            <rFont val="Tahoma"/>
            <family val="2"/>
          </rPr>
          <t xml:space="preserve">replace E2 and E4 with E1 and E3
</t>
        </r>
      </text>
    </comment>
    <comment ref="H33" authorId="0">
      <text>
        <r>
          <rPr>
            <sz val="9"/>
            <color indexed="81"/>
            <rFont val="Tahoma"/>
            <family val="2"/>
          </rPr>
          <t>22.8    degre 12
25.68  degre10
26.86  degre 8</t>
        </r>
      </text>
    </comment>
    <comment ref="H38" authorId="0">
      <text>
        <r>
          <rPr>
            <b/>
            <sz val="9"/>
            <color indexed="81"/>
            <rFont val="Tahoma"/>
            <family val="2"/>
          </rPr>
          <t xml:space="preserve">tilt angle -7 7
</t>
        </r>
      </text>
    </comment>
    <comment ref="I38" authorId="0">
      <text>
        <r>
          <rPr>
            <b/>
            <sz val="9"/>
            <color indexed="81"/>
            <rFont val="Tahoma"/>
            <family val="2"/>
          </rPr>
          <t xml:space="preserve">tilt angle -7 7
</t>
        </r>
      </text>
    </comment>
    <comment ref="J38" authorId="0">
      <text>
        <r>
          <rPr>
            <b/>
            <sz val="9"/>
            <color indexed="81"/>
            <rFont val="Tahoma"/>
            <family val="2"/>
          </rPr>
          <t xml:space="preserve">tilt angle 7 7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B40" authorId="0">
      <text>
        <r>
          <rPr>
            <b/>
            <sz val="9"/>
            <color indexed="81"/>
            <rFont val="Tahoma"/>
            <family val="2"/>
          </rPr>
          <t>tilt angle 7,7</t>
        </r>
      </text>
    </comment>
  </commentList>
</comments>
</file>

<file path=xl/sharedStrings.xml><?xml version="1.0" encoding="utf-8"?>
<sst xmlns="http://schemas.openxmlformats.org/spreadsheetml/2006/main" count="455" uniqueCount="167">
  <si>
    <t>abrasive blasting</t>
  </si>
  <si>
    <t>abrasive flow machining</t>
  </si>
  <si>
    <t>brushing</t>
  </si>
  <si>
    <t>dragging</t>
  </si>
  <si>
    <t>honing</t>
  </si>
  <si>
    <t>laser machining</t>
  </si>
  <si>
    <t xml:space="preserve">magneto-abrasive machining </t>
  </si>
  <si>
    <t>β</t>
    <phoneticPr fontId="1" type="noConversion"/>
  </si>
  <si>
    <t>Wyko</t>
    <phoneticPr fontId="1" type="noConversion"/>
  </si>
  <si>
    <t>Surface scan</t>
    <phoneticPr fontId="1" type="noConversion"/>
  </si>
  <si>
    <t>MEX</t>
    <phoneticPr fontId="1" type="noConversion"/>
  </si>
  <si>
    <t>0375E3</t>
    <phoneticPr fontId="1" type="noConversion"/>
  </si>
  <si>
    <r>
      <t>θ</t>
    </r>
    <r>
      <rPr>
        <b/>
        <vertAlign val="subscript"/>
        <sz val="11"/>
        <color indexed="8"/>
        <rFont val="宋体"/>
        <family val="3"/>
        <charset val="134"/>
      </rPr>
      <t>flank</t>
    </r>
    <r>
      <rPr>
        <b/>
        <sz val="11"/>
        <color indexed="8"/>
        <rFont val="宋体"/>
        <family val="3"/>
        <charset val="134"/>
      </rPr>
      <t xml:space="preserve">
</t>
    </r>
    <phoneticPr fontId="1" type="noConversion"/>
  </si>
  <si>
    <t>0374E1</t>
    <phoneticPr fontId="1" type="noConversion"/>
  </si>
  <si>
    <t>0429E2</t>
    <phoneticPr fontId="1" type="noConversion"/>
  </si>
  <si>
    <t>0429E4</t>
    <phoneticPr fontId="1" type="noConversion"/>
  </si>
  <si>
    <t>0430E2</t>
    <phoneticPr fontId="1" type="noConversion"/>
  </si>
  <si>
    <t>0430E4</t>
    <phoneticPr fontId="1" type="noConversion"/>
  </si>
  <si>
    <r>
      <t>θ</t>
    </r>
    <r>
      <rPr>
        <b/>
        <vertAlign val="subscript"/>
        <sz val="11"/>
        <color indexed="8"/>
        <rFont val="宋体"/>
        <family val="3"/>
        <charset val="134"/>
      </rPr>
      <t>face</t>
    </r>
    <r>
      <rPr>
        <b/>
        <sz val="11"/>
        <color indexed="8"/>
        <rFont val="宋体"/>
        <family val="3"/>
        <charset val="134"/>
      </rPr>
      <t xml:space="preserve">
</t>
    </r>
    <phoneticPr fontId="1" type="noConversion"/>
  </si>
  <si>
    <t>0374E3</t>
    <phoneticPr fontId="1" type="noConversion"/>
  </si>
  <si>
    <t>0575E2</t>
    <phoneticPr fontId="1" type="noConversion"/>
  </si>
  <si>
    <t>0575E4</t>
    <phoneticPr fontId="1" type="noConversion"/>
  </si>
  <si>
    <t>0576E1</t>
    <phoneticPr fontId="1" type="noConversion"/>
  </si>
  <si>
    <t>0576E3</t>
    <phoneticPr fontId="1" type="noConversion"/>
  </si>
  <si>
    <t>0244E2</t>
    <phoneticPr fontId="1" type="noConversion"/>
  </si>
  <si>
    <t>0244E3</t>
  </si>
  <si>
    <t>0699E2</t>
    <phoneticPr fontId="1" type="noConversion"/>
  </si>
  <si>
    <t>0699E3</t>
  </si>
  <si>
    <t>0700E2</t>
    <phoneticPr fontId="1" type="noConversion"/>
  </si>
  <si>
    <t>0700E4</t>
    <phoneticPr fontId="1" type="noConversion"/>
  </si>
  <si>
    <t>0639E1</t>
    <phoneticPr fontId="1" type="noConversion"/>
  </si>
  <si>
    <t>0639E4</t>
    <phoneticPr fontId="1" type="noConversion"/>
  </si>
  <si>
    <t>0640E2</t>
    <phoneticPr fontId="1" type="noConversion"/>
  </si>
  <si>
    <t>0640E4</t>
    <phoneticPr fontId="1" type="noConversion"/>
  </si>
  <si>
    <t>0532E1</t>
    <phoneticPr fontId="1" type="noConversion"/>
  </si>
  <si>
    <t>0532E4</t>
    <phoneticPr fontId="1" type="noConversion"/>
  </si>
  <si>
    <t>0533E4</t>
    <phoneticPr fontId="1" type="noConversion"/>
  </si>
  <si>
    <t>0533E2</t>
    <phoneticPr fontId="1" type="noConversion"/>
  </si>
  <si>
    <t>0026E1</t>
    <phoneticPr fontId="1" type="noConversion"/>
  </si>
  <si>
    <t>0026E3</t>
    <phoneticPr fontId="1" type="noConversion"/>
  </si>
  <si>
    <t>0026E1</t>
    <phoneticPr fontId="1" type="noConversion"/>
  </si>
  <si>
    <t>0026E3</t>
    <phoneticPr fontId="1" type="noConversion"/>
  </si>
  <si>
    <t>0374E1</t>
    <phoneticPr fontId="1" type="noConversion"/>
  </si>
  <si>
    <t>0375E3</t>
    <phoneticPr fontId="1" type="noConversion"/>
  </si>
  <si>
    <t>Minor cutting edge</t>
    <phoneticPr fontId="1" type="noConversion"/>
  </si>
  <si>
    <t>Major cutting edge</t>
    <phoneticPr fontId="1" type="noConversion"/>
  </si>
  <si>
    <t>0375E2</t>
    <phoneticPr fontId="1" type="noConversion"/>
  </si>
  <si>
    <t>0375E2</t>
    <phoneticPr fontId="1" type="noConversion"/>
  </si>
  <si>
    <r>
      <t>r</t>
    </r>
    <r>
      <rPr>
        <b/>
        <vertAlign val="subscript"/>
        <sz val="11"/>
        <color indexed="8"/>
        <rFont val="宋体"/>
        <family val="3"/>
        <charset val="134"/>
      </rPr>
      <t>β（μm）</t>
    </r>
    <phoneticPr fontId="1" type="noConversion"/>
  </si>
  <si>
    <t>abrasive blasting</t>
    <phoneticPr fontId="1" type="noConversion"/>
  </si>
  <si>
    <t>length of chamfer</t>
    <phoneticPr fontId="1" type="noConversion"/>
  </si>
  <si>
    <t>length of chamfer</t>
    <phoneticPr fontId="1" type="noConversion"/>
  </si>
  <si>
    <t xml:space="preserve">roughness </t>
    <phoneticPr fontId="1" type="noConversion"/>
  </si>
  <si>
    <t>Ra</t>
    <phoneticPr fontId="1" type="noConversion"/>
  </si>
  <si>
    <t>Rt</t>
    <phoneticPr fontId="1" type="noConversion"/>
  </si>
  <si>
    <t>/</t>
    <phoneticPr fontId="1" type="noConversion"/>
  </si>
  <si>
    <t>β</t>
  </si>
  <si>
    <r>
      <t>α=90-（β+γ</t>
    </r>
    <r>
      <rPr>
        <b/>
        <vertAlign val="subscript"/>
        <sz val="10"/>
        <color indexed="8"/>
        <rFont val="宋体"/>
        <family val="3"/>
        <charset val="134"/>
      </rPr>
      <t>p</t>
    </r>
    <r>
      <rPr>
        <b/>
        <sz val="10"/>
        <color indexed="8"/>
        <rFont val="宋体"/>
        <family val="3"/>
        <charset val="134"/>
      </rPr>
      <t>), γ</t>
    </r>
    <r>
      <rPr>
        <b/>
        <vertAlign val="subscript"/>
        <sz val="10"/>
        <color indexed="8"/>
        <rFont val="宋体"/>
        <family val="3"/>
        <charset val="134"/>
      </rPr>
      <t>p</t>
    </r>
    <r>
      <rPr>
        <b/>
        <sz val="10"/>
        <color indexed="8"/>
        <rFont val="宋体"/>
        <family val="3"/>
        <charset val="134"/>
      </rPr>
      <t>=20°</t>
    </r>
    <phoneticPr fontId="1" type="noConversion"/>
  </si>
  <si>
    <t>/</t>
    <phoneticPr fontId="1" type="noConversion"/>
  </si>
  <si>
    <t>reference</t>
    <phoneticPr fontId="1" type="noConversion"/>
  </si>
  <si>
    <t xml:space="preserve">reference </t>
    <phoneticPr fontId="1" type="noConversion"/>
  </si>
  <si>
    <t xml:space="preserve">abrasive blasting </t>
    <phoneticPr fontId="1" type="noConversion"/>
  </si>
  <si>
    <t xml:space="preserve">abrasive flow machining </t>
    <phoneticPr fontId="1" type="noConversion"/>
  </si>
  <si>
    <t xml:space="preserve">brushing </t>
    <phoneticPr fontId="1" type="noConversion"/>
  </si>
  <si>
    <t>dragging</t>
    <phoneticPr fontId="1" type="noConversion"/>
  </si>
  <si>
    <t xml:space="preserve">honing </t>
    <phoneticPr fontId="1" type="noConversion"/>
  </si>
  <si>
    <t>magneto-abrasive machining</t>
    <phoneticPr fontId="1" type="noConversion"/>
  </si>
  <si>
    <r>
      <t>θ</t>
    </r>
    <r>
      <rPr>
        <b/>
        <vertAlign val="subscript"/>
        <sz val="10"/>
        <color indexed="8"/>
        <rFont val="宋体"/>
        <family val="3"/>
        <charset val="134"/>
      </rPr>
      <t>face</t>
    </r>
    <r>
      <rPr>
        <b/>
        <sz val="10"/>
        <color indexed="8"/>
        <rFont val="宋体"/>
        <family val="3"/>
        <charset val="134"/>
      </rPr>
      <t xml:space="preserve">
</t>
    </r>
    <phoneticPr fontId="1" type="noConversion"/>
  </si>
  <si>
    <r>
      <t>θ</t>
    </r>
    <r>
      <rPr>
        <b/>
        <vertAlign val="subscript"/>
        <sz val="10"/>
        <color indexed="8"/>
        <rFont val="宋体"/>
        <family val="3"/>
        <charset val="134"/>
      </rPr>
      <t>flank</t>
    </r>
    <r>
      <rPr>
        <b/>
        <sz val="10"/>
        <color indexed="8"/>
        <rFont val="宋体"/>
        <family val="3"/>
        <charset val="134"/>
      </rPr>
      <t xml:space="preserve">
</t>
    </r>
    <phoneticPr fontId="1" type="noConversion"/>
  </si>
  <si>
    <t>roughness</t>
    <phoneticPr fontId="1" type="noConversion"/>
  </si>
  <si>
    <t>Major cutting edge</t>
    <phoneticPr fontId="1" type="noConversion"/>
  </si>
  <si>
    <t>MEX</t>
    <phoneticPr fontId="1" type="noConversion"/>
  </si>
  <si>
    <t>chamfer （μm）</t>
    <phoneticPr fontId="1" type="noConversion"/>
  </si>
  <si>
    <t>chamfer（μm）</t>
    <phoneticPr fontId="1" type="noConversion"/>
  </si>
  <si>
    <r>
      <t>α=90-（β+γ</t>
    </r>
    <r>
      <rPr>
        <b/>
        <vertAlign val="subscript"/>
        <sz val="10"/>
        <color indexed="8"/>
        <rFont val="宋体"/>
        <family val="3"/>
        <charset val="134"/>
      </rPr>
      <t>p</t>
    </r>
    <r>
      <rPr>
        <b/>
        <sz val="10"/>
        <color indexed="8"/>
        <rFont val="宋体"/>
        <family val="3"/>
        <charset val="134"/>
      </rPr>
      <t>),   γ</t>
    </r>
    <r>
      <rPr>
        <b/>
        <vertAlign val="subscript"/>
        <sz val="10"/>
        <color indexed="8"/>
        <rFont val="宋体"/>
        <family val="3"/>
        <charset val="134"/>
      </rPr>
      <t>p</t>
    </r>
    <r>
      <rPr>
        <b/>
        <sz val="10"/>
        <color indexed="8"/>
        <rFont val="宋体"/>
        <family val="3"/>
        <charset val="134"/>
      </rPr>
      <t>=20°</t>
    </r>
    <phoneticPr fontId="1" type="noConversion"/>
  </si>
  <si>
    <t>/</t>
    <phoneticPr fontId="1" type="noConversion"/>
  </si>
  <si>
    <t>Comments</t>
    <phoneticPr fontId="1" type="noConversion"/>
  </si>
  <si>
    <t xml:space="preserve">reliable </t>
    <phoneticPr fontId="1" type="noConversion"/>
  </si>
  <si>
    <t>reliable</t>
    <phoneticPr fontId="1" type="noConversion"/>
  </si>
  <si>
    <t>unreliable</t>
    <phoneticPr fontId="1" type="noConversion"/>
  </si>
  <si>
    <t xml:space="preserve">acceptable </t>
    <phoneticPr fontId="1" type="noConversion"/>
  </si>
  <si>
    <t>acceptable</t>
    <phoneticPr fontId="1" type="noConversion"/>
  </si>
  <si>
    <t>inreliable</t>
    <phoneticPr fontId="1" type="noConversion"/>
  </si>
  <si>
    <t xml:space="preserve">un reliable:limited capacity of diameter measurements by MEX5.0; possible error caused by combination of images </t>
    <phoneticPr fontId="1" type="noConversion"/>
  </si>
  <si>
    <t xml:space="preserve">unreliable:poor quality of the flank image </t>
    <phoneticPr fontId="1" type="noConversion"/>
  </si>
  <si>
    <t>unreliable</t>
    <phoneticPr fontId="1" type="noConversion"/>
  </si>
  <si>
    <t>acceptable</t>
    <phoneticPr fontId="1" type="noConversion"/>
  </si>
  <si>
    <t>acceptable :all images of Wyko concerning the cutting face are of good quality)</t>
    <phoneticPr fontId="1" type="noConversion"/>
  </si>
  <si>
    <t>unreliable: all images of Wyko concerning the flank are of poor qulities)</t>
    <phoneticPr fontId="1" type="noConversion"/>
  </si>
  <si>
    <t>inacceptable</t>
    <phoneticPr fontId="1" type="noConversion"/>
  </si>
  <si>
    <t>/</t>
    <phoneticPr fontId="1" type="noConversion"/>
  </si>
  <si>
    <t>/</t>
    <phoneticPr fontId="1" type="noConversion"/>
  </si>
  <si>
    <t xml:space="preserve">unreliable:limited capacity of diameter measurements by MEX5.0; possible error caused by combination of images </t>
    <phoneticPr fontId="1" type="noConversion"/>
  </si>
  <si>
    <r>
      <t>rβ</t>
    </r>
    <r>
      <rPr>
        <b/>
        <sz val="10"/>
        <color indexed="8"/>
        <rFont val="宋体"/>
        <family val="3"/>
        <charset val="134"/>
      </rPr>
      <t>（</t>
    </r>
    <r>
      <rPr>
        <b/>
        <sz val="10"/>
        <color indexed="8"/>
        <rFont val="Times New Roman"/>
        <family val="1"/>
      </rPr>
      <t>μm</t>
    </r>
    <r>
      <rPr>
        <b/>
        <sz val="10"/>
        <color indexed="8"/>
        <rFont val="宋体"/>
        <family val="3"/>
        <charset val="134"/>
      </rPr>
      <t>）</t>
    </r>
  </si>
  <si>
    <t>reference</t>
    <phoneticPr fontId="13" type="noConversion"/>
  </si>
  <si>
    <t>surfascan</t>
    <phoneticPr fontId="13" type="noConversion"/>
  </si>
  <si>
    <t>mex</t>
    <phoneticPr fontId="13" type="noConversion"/>
  </si>
  <si>
    <t>honing</t>
    <phoneticPr fontId="1" type="noConversion"/>
  </si>
  <si>
    <t>0699E2</t>
    <phoneticPr fontId="1" type="noConversion"/>
  </si>
  <si>
    <t>0699E3</t>
    <phoneticPr fontId="1" type="noConversion"/>
  </si>
  <si>
    <t>0700E2</t>
    <phoneticPr fontId="1" type="noConversion"/>
  </si>
  <si>
    <t>0700E4</t>
    <phoneticPr fontId="1" type="noConversion"/>
  </si>
  <si>
    <t>/</t>
    <phoneticPr fontId="13" type="noConversion"/>
  </si>
  <si>
    <r>
      <t>r</t>
    </r>
    <r>
      <rPr>
        <b/>
        <vertAlign val="subscript"/>
        <sz val="11"/>
        <color indexed="8"/>
        <rFont val="宋体"/>
        <family val="3"/>
        <charset val="134"/>
      </rPr>
      <t>β（μm）</t>
    </r>
    <phoneticPr fontId="1" type="noConversion"/>
  </si>
  <si>
    <t>0025E2</t>
    <phoneticPr fontId="1" type="noConversion"/>
  </si>
  <si>
    <t>0025E4</t>
    <phoneticPr fontId="1" type="noConversion"/>
  </si>
  <si>
    <t>abrasive flow machining</t>
    <phoneticPr fontId="1" type="noConversion"/>
  </si>
  <si>
    <t xml:space="preserve">minor </t>
    <phoneticPr fontId="13" type="noConversion"/>
  </si>
  <si>
    <t>major</t>
    <phoneticPr fontId="13" type="noConversion"/>
  </si>
  <si>
    <t xml:space="preserve">magneto-abrasive machining </t>
    <phoneticPr fontId="1" type="noConversion"/>
  </si>
  <si>
    <t>abrasive flow machining</t>
    <phoneticPr fontId="10" type="noConversion"/>
  </si>
  <si>
    <r>
      <t>r</t>
    </r>
    <r>
      <rPr>
        <b/>
        <vertAlign val="subscript"/>
        <sz val="11"/>
        <color indexed="8"/>
        <rFont val="宋体"/>
        <family val="3"/>
        <charset val="134"/>
      </rPr>
      <t>B</t>
    </r>
    <phoneticPr fontId="13" type="noConversion"/>
  </si>
  <si>
    <t>/</t>
    <phoneticPr fontId="1" type="noConversion"/>
  </si>
  <si>
    <t>/</t>
    <phoneticPr fontId="1" type="noConversion"/>
  </si>
  <si>
    <r>
      <t xml:space="preserve">θface </t>
    </r>
    <r>
      <rPr>
        <b/>
        <sz val="10"/>
        <color indexed="8"/>
        <rFont val="Times New Roman"/>
        <family val="1"/>
      </rPr>
      <t>°</t>
    </r>
    <phoneticPr fontId="12" type="noConversion"/>
  </si>
  <si>
    <r>
      <t>θflank</t>
    </r>
    <r>
      <rPr>
        <b/>
        <sz val="10"/>
        <color indexed="8"/>
        <rFont val="Times New Roman"/>
        <family val="1"/>
      </rPr>
      <t>°</t>
    </r>
    <phoneticPr fontId="12" type="noConversion"/>
  </si>
  <si>
    <r>
      <t>β</t>
    </r>
    <r>
      <rPr>
        <b/>
        <sz val="10"/>
        <color indexed="8"/>
        <rFont val="Times New Roman"/>
        <family val="1"/>
      </rPr>
      <t>°</t>
    </r>
    <phoneticPr fontId="12" type="noConversion"/>
  </si>
  <si>
    <r>
      <t>α</t>
    </r>
    <r>
      <rPr>
        <b/>
        <vertAlign val="subscript"/>
        <sz val="10"/>
        <color indexed="8"/>
        <rFont val="Times New Roman"/>
        <family val="1"/>
      </rPr>
      <t>p</t>
    </r>
    <r>
      <rPr>
        <b/>
        <sz val="10"/>
        <color indexed="8"/>
        <rFont val="Times New Roman"/>
        <family val="1"/>
      </rPr>
      <t>°</t>
    </r>
    <phoneticPr fontId="12" type="noConversion"/>
  </si>
  <si>
    <r>
      <t xml:space="preserve">length of chamfer   </t>
    </r>
    <r>
      <rPr>
        <b/>
        <sz val="10"/>
        <color indexed="8"/>
        <rFont val="宋体"/>
        <family val="3"/>
        <charset val="134"/>
      </rPr>
      <t>（</t>
    </r>
    <r>
      <rPr>
        <b/>
        <sz val="10"/>
        <color indexed="8"/>
        <rFont val="Times New Roman"/>
        <family val="1"/>
      </rPr>
      <t>μm</t>
    </r>
    <r>
      <rPr>
        <b/>
        <sz val="10"/>
        <color indexed="8"/>
        <rFont val="宋体"/>
        <family val="3"/>
        <charset val="134"/>
      </rPr>
      <t>）</t>
    </r>
    <phoneticPr fontId="12" type="noConversion"/>
  </si>
  <si>
    <r>
      <t>α</t>
    </r>
    <r>
      <rPr>
        <b/>
        <vertAlign val="subscript"/>
        <sz val="10"/>
        <color indexed="8"/>
        <rFont val="Times New Roman"/>
        <family val="1"/>
      </rPr>
      <t>0</t>
    </r>
    <r>
      <rPr>
        <b/>
        <sz val="10"/>
        <color indexed="8"/>
        <rFont val="Times New Roman"/>
        <family val="1"/>
      </rPr>
      <t>°</t>
    </r>
    <phoneticPr fontId="12" type="noConversion"/>
  </si>
  <si>
    <t>0429E2</t>
    <phoneticPr fontId="1" type="noConversion"/>
  </si>
  <si>
    <t xml:space="preserve">brushing </t>
    <phoneticPr fontId="10" type="noConversion"/>
  </si>
  <si>
    <t>dragging</t>
    <phoneticPr fontId="10" type="noConversion"/>
  </si>
  <si>
    <t xml:space="preserve">honing </t>
    <phoneticPr fontId="10" type="noConversion"/>
  </si>
  <si>
    <t>magneto-abrasive machining</t>
    <phoneticPr fontId="10" type="noConversion"/>
  </si>
  <si>
    <t>fi</t>
    <phoneticPr fontId="12" type="noConversion"/>
  </si>
  <si>
    <t>Final profile results by SurfaScan</t>
  </si>
  <si>
    <t>Insert geometry</t>
  </si>
  <si>
    <t>Complete data</t>
  </si>
  <si>
    <t>8 preparations comparaison, average values of profiles</t>
  </si>
  <si>
    <t>N.B:"/"represents the negative angles which are unraisonable</t>
  </si>
  <si>
    <t>Major cutting edge</t>
  </si>
  <si>
    <t>Minor cutting edge</t>
  </si>
  <si>
    <t>edge radii measurement results</t>
  </si>
  <si>
    <t>SurfaScan</t>
  </si>
  <si>
    <t>reference</t>
    <phoneticPr fontId="13" type="noConversion"/>
  </si>
  <si>
    <t>0575E2</t>
  </si>
  <si>
    <t>0575E4</t>
  </si>
  <si>
    <t>0576E1</t>
  </si>
  <si>
    <t>0576E3</t>
  </si>
  <si>
    <t>0639E1</t>
  </si>
  <si>
    <t>0639E4</t>
  </si>
  <si>
    <t>0640E2</t>
  </si>
  <si>
    <t>0640E4</t>
  </si>
  <si>
    <t>0532E1</t>
  </si>
  <si>
    <t>0532E4</t>
  </si>
  <si>
    <t>0533E2</t>
  </si>
  <si>
    <t>0533E4</t>
  </si>
  <si>
    <t>0244E2</t>
  </si>
  <si>
    <t>brushing</t>
    <phoneticPr fontId="13" type="noConversion"/>
  </si>
  <si>
    <t xml:space="preserve">magneto-abrasive machining </t>
    <phoneticPr fontId="13" type="noConversion"/>
  </si>
  <si>
    <t xml:space="preserve">abrasive blasting </t>
    <phoneticPr fontId="13" type="noConversion"/>
  </si>
  <si>
    <r>
      <t>a</t>
    </r>
    <r>
      <rPr>
        <sz val="10"/>
        <color indexed="8"/>
        <rFont val="宋体"/>
        <family val="3"/>
        <charset val="134"/>
      </rPr>
      <t>brasive flow machining</t>
    </r>
    <phoneticPr fontId="13" type="noConversion"/>
  </si>
  <si>
    <t>honing</t>
    <phoneticPr fontId="13" type="noConversion"/>
  </si>
  <si>
    <t>brushing</t>
    <phoneticPr fontId="13" type="noConversion"/>
  </si>
  <si>
    <t>Laser machining</t>
    <phoneticPr fontId="13" type="noConversion"/>
  </si>
  <si>
    <t>dragging</t>
    <phoneticPr fontId="13" type="noConversion"/>
  </si>
  <si>
    <r>
      <t>d</t>
    </r>
    <r>
      <rPr>
        <b/>
        <sz val="11"/>
        <color indexed="8"/>
        <rFont val="宋体"/>
        <family val="3"/>
        <charset val="134"/>
      </rPr>
      <t xml:space="preserve">eviation </t>
    </r>
    <phoneticPr fontId="13" type="noConversion"/>
  </si>
  <si>
    <r>
      <t>average r</t>
    </r>
    <r>
      <rPr>
        <b/>
        <vertAlign val="subscript"/>
        <sz val="11"/>
        <color theme="1"/>
        <rFont val="Calibri"/>
        <family val="3"/>
        <charset val="134"/>
        <scheme val="minor"/>
      </rPr>
      <t>B</t>
    </r>
    <phoneticPr fontId="13" type="noConversion"/>
  </si>
  <si>
    <r>
      <t>r</t>
    </r>
    <r>
      <rPr>
        <b/>
        <vertAlign val="subscript"/>
        <sz val="11"/>
        <color theme="1"/>
        <rFont val="Calibri"/>
        <family val="3"/>
        <charset val="134"/>
        <scheme val="minor"/>
      </rPr>
      <t>B</t>
    </r>
    <phoneticPr fontId="13" type="noConversion"/>
  </si>
  <si>
    <r>
      <t>α=90-（β+γ</t>
    </r>
    <r>
      <rPr>
        <b/>
        <vertAlign val="subscript"/>
        <sz val="10"/>
        <color indexed="8"/>
        <rFont val="宋体"/>
        <family val="2"/>
      </rPr>
      <t>0</t>
    </r>
    <r>
      <rPr>
        <b/>
        <sz val="10"/>
        <color indexed="8"/>
        <rFont val="宋体"/>
        <family val="3"/>
        <charset val="134"/>
      </rPr>
      <t>）， γ</t>
    </r>
    <r>
      <rPr>
        <b/>
        <vertAlign val="subscript"/>
        <sz val="10"/>
        <color indexed="8"/>
        <rFont val="宋体"/>
        <family val="3"/>
        <charset val="134"/>
      </rPr>
      <t>0</t>
    </r>
    <r>
      <rPr>
        <b/>
        <sz val="10"/>
        <color indexed="8"/>
        <rFont val="宋体"/>
        <family val="3"/>
        <charset val="134"/>
      </rPr>
      <t>=12°</t>
    </r>
    <phoneticPr fontId="1" type="noConversion"/>
  </si>
  <si>
    <r>
      <t>rβ</t>
    </r>
    <r>
      <rPr>
        <b/>
        <sz val="10"/>
        <color indexed="8"/>
        <rFont val="宋体"/>
        <family val="3"/>
        <charset val="134"/>
      </rPr>
      <t>（</t>
    </r>
    <r>
      <rPr>
        <b/>
        <sz val="10"/>
        <color indexed="8"/>
        <rFont val="Times New Roman"/>
        <family val="1"/>
      </rPr>
      <t>μm</t>
    </r>
    <r>
      <rPr>
        <b/>
        <sz val="10"/>
        <color indexed="8"/>
        <rFont val="宋体"/>
        <family val="3"/>
        <charset val="134"/>
      </rPr>
      <t>）</t>
    </r>
    <phoneticPr fontId="12" type="noConversion"/>
  </si>
  <si>
    <t>0025E2</t>
  </si>
  <si>
    <t>0025E4</t>
  </si>
  <si>
    <t>0026E1</t>
  </si>
  <si>
    <t>0026E3</t>
  </si>
  <si>
    <t>abrasive flow machining</t>
    <phoneticPr fontId="13" type="noConversion"/>
  </si>
</sst>
</file>

<file path=xl/styles.xml><?xml version="1.0" encoding="utf-8"?>
<styleSheet xmlns="http://schemas.openxmlformats.org/spreadsheetml/2006/main">
  <numFmts count="3">
    <numFmt numFmtId="164" formatCode="0.0_);[Red]\(0.0\)"/>
    <numFmt numFmtId="165" formatCode="0.0_ "/>
    <numFmt numFmtId="166" formatCode="0.00_);[Red]\(0.00\)"/>
  </numFmts>
  <fonts count="43">
    <font>
      <sz val="11"/>
      <color theme="1"/>
      <name val="Calibri"/>
      <charset val="134"/>
      <scheme val="minor"/>
    </font>
    <font>
      <sz val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vertAlign val="subscript"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9"/>
      <color indexed="81"/>
      <name val="Tahoma"/>
      <family val="2"/>
    </font>
    <font>
      <sz val="10"/>
      <name val="Arial Unicode MS"/>
      <family val="2"/>
      <charset val="134"/>
    </font>
    <font>
      <b/>
      <vertAlign val="subscript"/>
      <sz val="10"/>
      <color indexed="8"/>
      <name val="宋体"/>
      <family val="3"/>
      <charset val="134"/>
    </font>
    <font>
      <sz val="10"/>
      <color indexed="8"/>
      <name val="Arial Unicode MS"/>
      <family val="2"/>
      <charset val="134"/>
    </font>
    <font>
      <b/>
      <sz val="9"/>
      <color indexed="81"/>
      <name val="Tahoma"/>
      <family val="2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vertAlign val="subscript"/>
      <sz val="10"/>
      <color indexed="8"/>
      <name val="Times New Roman"/>
      <family val="1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 Unicode MS"/>
      <family val="2"/>
      <charset val="134"/>
    </font>
    <font>
      <b/>
      <sz val="11"/>
      <name val="Calibri"/>
      <family val="2"/>
      <scheme val="minor"/>
    </font>
    <font>
      <sz val="11"/>
      <color theme="1"/>
      <name val="Arial Unicode MS"/>
      <family val="2"/>
      <charset val="134"/>
    </font>
    <font>
      <b/>
      <sz val="10"/>
      <color theme="1"/>
      <name val="Arial Unicode MS"/>
      <family val="2"/>
      <charset val="134"/>
    </font>
    <font>
      <sz val="10"/>
      <color theme="1"/>
      <name val="Times New Roman"/>
      <family val="1"/>
    </font>
    <font>
      <b/>
      <sz val="10"/>
      <name val="Calibri"/>
      <family val="2"/>
      <scheme val="minor"/>
    </font>
    <font>
      <b/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8"/>
      <color theme="1"/>
      <name val="黑体"/>
      <family val="3"/>
      <charset val="134"/>
    </font>
    <font>
      <b/>
      <sz val="18"/>
      <color theme="1"/>
      <name val="Calibri"/>
      <family val="2"/>
      <scheme val="minor"/>
    </font>
    <font>
      <b/>
      <sz val="16"/>
      <color theme="1"/>
      <name val="黑体"/>
      <family val="3"/>
      <charset val="134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1"/>
      <name val="黑体"/>
      <family val="3"/>
      <charset val="134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b/>
      <vertAlign val="subscript"/>
      <sz val="11"/>
      <color theme="1"/>
      <name val="Calibri"/>
      <family val="3"/>
      <charset val="134"/>
      <scheme val="minor"/>
    </font>
    <font>
      <b/>
      <vertAlign val="subscript"/>
      <sz val="10"/>
      <color indexed="8"/>
      <name val="宋体"/>
      <family val="2"/>
    </font>
  </fonts>
  <fills count="12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>
      <alignment vertical="center"/>
    </xf>
    <xf numFmtId="0" fontId="17" fillId="2" borderId="21" applyNumberFormat="0" applyAlignment="0" applyProtection="0">
      <alignment vertical="center"/>
    </xf>
  </cellStyleXfs>
  <cellXfs count="2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49" fontId="18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18" fillId="3" borderId="2" xfId="0" applyNumberFormat="1" applyFont="1" applyFill="1" applyBorder="1" applyAlignment="1">
      <alignment horizontal="center" vertical="center"/>
    </xf>
    <xf numFmtId="49" fontId="18" fillId="4" borderId="2" xfId="0" applyNumberFormat="1" applyFont="1" applyFill="1" applyBorder="1" applyAlignment="1">
      <alignment horizontal="center" vertical="center"/>
    </xf>
    <xf numFmtId="49" fontId="18" fillId="3" borderId="3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164" fontId="19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19" fillId="0" borderId="0" xfId="0" applyNumberFormat="1" applyFont="1" applyFill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164" fontId="19" fillId="5" borderId="4" xfId="0" applyNumberFormat="1" applyFont="1" applyFill="1" applyBorder="1" applyAlignment="1">
      <alignment horizontal="center" vertical="center"/>
    </xf>
    <xf numFmtId="164" fontId="19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19" fillId="7" borderId="5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19" fillId="7" borderId="0" xfId="0" applyNumberFormat="1" applyFont="1" applyFill="1" applyBorder="1" applyAlignment="1">
      <alignment horizontal="center" vertical="center"/>
    </xf>
    <xf numFmtId="164" fontId="6" fillId="6" borderId="0" xfId="0" applyNumberFormat="1" applyFont="1" applyFill="1" applyBorder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164" fontId="19" fillId="6" borderId="5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66" fontId="20" fillId="5" borderId="1" xfId="0" applyNumberFormat="1" applyFont="1" applyFill="1" applyBorder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5" fontId="19" fillId="5" borderId="0" xfId="0" applyNumberFormat="1" applyFont="1" applyFill="1" applyAlignment="1">
      <alignment horizontal="center" vertical="center"/>
    </xf>
    <xf numFmtId="164" fontId="19" fillId="5" borderId="5" xfId="0" applyNumberFormat="1" applyFont="1" applyFill="1" applyBorder="1" applyAlignment="1">
      <alignment horizontal="center" vertical="center"/>
    </xf>
    <xf numFmtId="164" fontId="19" fillId="6" borderId="0" xfId="0" applyNumberFormat="1" applyFont="1" applyFill="1" applyAlignment="1">
      <alignment horizontal="center" vertical="center"/>
    </xf>
    <xf numFmtId="164" fontId="19" fillId="7" borderId="0" xfId="0" applyNumberFormat="1" applyFont="1" applyFill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21" fillId="0" borderId="0" xfId="0" applyFont="1">
      <alignment vertical="center"/>
    </xf>
    <xf numFmtId="164" fontId="19" fillId="5" borderId="0" xfId="0" applyNumberFormat="1" applyFont="1" applyFill="1" applyBorder="1" applyAlignment="1">
      <alignment horizontal="center" vertical="center"/>
    </xf>
    <xf numFmtId="165" fontId="19" fillId="5" borderId="0" xfId="0" applyNumberFormat="1" applyFont="1" applyFill="1" applyBorder="1" applyAlignment="1">
      <alignment horizontal="center" vertical="center"/>
    </xf>
    <xf numFmtId="164" fontId="19" fillId="5" borderId="6" xfId="0" applyNumberFormat="1" applyFont="1" applyFill="1" applyBorder="1" applyAlignment="1">
      <alignment horizontal="center" vertical="center"/>
    </xf>
    <xf numFmtId="164" fontId="19" fillId="5" borderId="7" xfId="0" applyNumberFormat="1" applyFont="1" applyFill="1" applyBorder="1" applyAlignment="1">
      <alignment horizontal="center" vertical="center"/>
    </xf>
    <xf numFmtId="164" fontId="19" fillId="6" borderId="8" xfId="0" applyNumberFormat="1" applyFont="1" applyFill="1" applyBorder="1" applyAlignment="1">
      <alignment horizontal="center" vertical="center"/>
    </xf>
    <xf numFmtId="164" fontId="6" fillId="6" borderId="9" xfId="0" applyNumberFormat="1" applyFont="1" applyFill="1" applyBorder="1" applyAlignment="1">
      <alignment horizontal="center" vertical="center"/>
    </xf>
    <xf numFmtId="164" fontId="19" fillId="7" borderId="8" xfId="0" applyNumberFormat="1" applyFont="1" applyFill="1" applyBorder="1" applyAlignment="1">
      <alignment horizontal="center" vertical="center"/>
    </xf>
    <xf numFmtId="164" fontId="19" fillId="7" borderId="9" xfId="0" applyNumberFormat="1" applyFont="1" applyFill="1" applyBorder="1" applyAlignment="1">
      <alignment horizontal="center" vertical="center"/>
    </xf>
    <xf numFmtId="164" fontId="19" fillId="5" borderId="8" xfId="0" applyNumberFormat="1" applyFont="1" applyFill="1" applyBorder="1" applyAlignment="1">
      <alignment horizontal="center" vertical="center"/>
    </xf>
    <xf numFmtId="164" fontId="19" fillId="5" borderId="9" xfId="0" applyNumberFormat="1" applyFont="1" applyFill="1" applyBorder="1" applyAlignment="1">
      <alignment horizontal="center" vertical="center"/>
    </xf>
    <xf numFmtId="165" fontId="19" fillId="5" borderId="8" xfId="0" applyNumberFormat="1" applyFont="1" applyFill="1" applyBorder="1" applyAlignment="1">
      <alignment horizontal="center" vertical="center"/>
    </xf>
    <xf numFmtId="165" fontId="19" fillId="5" borderId="9" xfId="0" applyNumberFormat="1" applyFont="1" applyFill="1" applyBorder="1" applyAlignment="1">
      <alignment horizontal="center" vertical="center"/>
    </xf>
    <xf numFmtId="164" fontId="19" fillId="5" borderId="10" xfId="0" applyNumberFormat="1" applyFont="1" applyFill="1" applyBorder="1" applyAlignment="1">
      <alignment horizontal="center" vertical="center"/>
    </xf>
    <xf numFmtId="164" fontId="6" fillId="6" borderId="8" xfId="0" applyNumberFormat="1" applyFont="1" applyFill="1" applyBorder="1" applyAlignment="1">
      <alignment horizontal="center" vertical="center"/>
    </xf>
    <xf numFmtId="49" fontId="18" fillId="3" borderId="11" xfId="0" applyNumberFormat="1" applyFont="1" applyFill="1" applyBorder="1" applyAlignment="1">
      <alignment horizontal="center" vertical="center"/>
    </xf>
    <xf numFmtId="49" fontId="18" fillId="4" borderId="11" xfId="0" applyNumberFormat="1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center" vertical="center"/>
    </xf>
    <xf numFmtId="166" fontId="16" fillId="4" borderId="3" xfId="0" applyNumberFormat="1" applyFont="1" applyFill="1" applyBorder="1" applyAlignment="1">
      <alignment horizontal="center" vertical="center"/>
    </xf>
    <xf numFmtId="166" fontId="16" fillId="4" borderId="5" xfId="0" applyNumberFormat="1" applyFont="1" applyFill="1" applyBorder="1" applyAlignment="1">
      <alignment horizontal="center" vertical="center"/>
    </xf>
    <xf numFmtId="166" fontId="19" fillId="5" borderId="0" xfId="0" applyNumberFormat="1" applyFont="1" applyFill="1" applyAlignment="1">
      <alignment horizontal="center" vertical="center"/>
    </xf>
    <xf numFmtId="166" fontId="0" fillId="0" borderId="0" xfId="0" applyNumberFormat="1" applyFill="1">
      <alignment vertical="center"/>
    </xf>
    <xf numFmtId="166" fontId="0" fillId="0" borderId="0" xfId="0" applyNumberFormat="1">
      <alignment vertical="center"/>
    </xf>
    <xf numFmtId="166" fontId="18" fillId="5" borderId="1" xfId="0" applyNumberFormat="1" applyFont="1" applyFill="1" applyBorder="1" applyAlignment="1">
      <alignment horizontal="center" vertical="center"/>
    </xf>
    <xf numFmtId="164" fontId="8" fillId="5" borderId="8" xfId="0" applyNumberFormat="1" applyFont="1" applyFill="1" applyBorder="1" applyAlignment="1">
      <alignment horizontal="center" vertical="center"/>
    </xf>
    <xf numFmtId="164" fontId="8" fillId="5" borderId="0" xfId="0" applyNumberFormat="1" applyFont="1" applyFill="1" applyBorder="1" applyAlignment="1">
      <alignment horizontal="center" vertical="center"/>
    </xf>
    <xf numFmtId="164" fontId="8" fillId="5" borderId="9" xfId="0" applyNumberFormat="1" applyFont="1" applyFill="1" applyBorder="1" applyAlignment="1">
      <alignment horizontal="center" vertical="center"/>
    </xf>
    <xf numFmtId="166" fontId="19" fillId="5" borderId="0" xfId="0" applyNumberFormat="1" applyFont="1" applyFill="1" applyBorder="1" applyAlignment="1">
      <alignment horizontal="center" vertical="center"/>
    </xf>
    <xf numFmtId="166" fontId="19" fillId="5" borderId="9" xfId="0" applyNumberFormat="1" applyFont="1" applyFill="1" applyBorder="1" applyAlignment="1">
      <alignment horizontal="center" vertical="center"/>
    </xf>
    <xf numFmtId="166" fontId="19" fillId="5" borderId="8" xfId="0" applyNumberFormat="1" applyFont="1" applyFill="1" applyBorder="1" applyAlignment="1">
      <alignment horizontal="center" vertical="center"/>
    </xf>
    <xf numFmtId="166" fontId="19" fillId="5" borderId="5" xfId="0" applyNumberFormat="1" applyFont="1" applyFill="1" applyBorder="1" applyAlignment="1">
      <alignment horizontal="center" vertical="center"/>
    </xf>
    <xf numFmtId="166" fontId="19" fillId="5" borderId="13" xfId="0" applyNumberFormat="1" applyFont="1" applyFill="1" applyBorder="1" applyAlignment="1">
      <alignment horizontal="center" vertical="center"/>
    </xf>
    <xf numFmtId="166" fontId="19" fillId="5" borderId="14" xfId="0" applyNumberFormat="1" applyFont="1" applyFill="1" applyBorder="1" applyAlignment="1">
      <alignment horizontal="center" vertical="center"/>
    </xf>
    <xf numFmtId="166" fontId="19" fillId="5" borderId="10" xfId="0" applyNumberFormat="1" applyFont="1" applyFill="1" applyBorder="1" applyAlignment="1">
      <alignment horizontal="center" vertical="center"/>
    </xf>
    <xf numFmtId="166" fontId="19" fillId="5" borderId="15" xfId="0" applyNumberFormat="1" applyFont="1" applyFill="1" applyBorder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19" fillId="0" borderId="0" xfId="0" applyNumberFormat="1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center" vertical="center" wrapText="1"/>
    </xf>
    <xf numFmtId="164" fontId="19" fillId="5" borderId="8" xfId="0" applyNumberFormat="1" applyFont="1" applyFill="1" applyBorder="1" applyAlignment="1">
      <alignment vertical="center"/>
    </xf>
    <xf numFmtId="164" fontId="19" fillId="5" borderId="0" xfId="0" applyNumberFormat="1" applyFont="1" applyFill="1" applyBorder="1" applyAlignment="1">
      <alignment vertical="center"/>
    </xf>
    <xf numFmtId="164" fontId="19" fillId="6" borderId="0" xfId="0" applyNumberFormat="1" applyFont="1" applyFill="1" applyBorder="1" applyAlignment="1">
      <alignment vertical="center"/>
    </xf>
    <xf numFmtId="164" fontId="19" fillId="7" borderId="8" xfId="0" applyNumberFormat="1" applyFont="1" applyFill="1" applyBorder="1" applyAlignment="1">
      <alignment vertical="center"/>
    </xf>
    <xf numFmtId="164" fontId="19" fillId="7" borderId="0" xfId="0" applyNumberFormat="1" applyFont="1" applyFill="1" applyBorder="1" applyAlignment="1">
      <alignment vertical="center"/>
    </xf>
    <xf numFmtId="164" fontId="22" fillId="6" borderId="8" xfId="0" applyNumberFormat="1" applyFont="1" applyFill="1" applyBorder="1" applyAlignment="1">
      <alignment vertical="center"/>
    </xf>
    <xf numFmtId="164" fontId="22" fillId="5" borderId="8" xfId="0" applyNumberFormat="1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164" fontId="23" fillId="0" borderId="2" xfId="0" applyNumberFormat="1" applyFont="1" applyFill="1" applyBorder="1" applyAlignment="1">
      <alignment horizontal="center" vertical="center"/>
    </xf>
    <xf numFmtId="164" fontId="23" fillId="0" borderId="11" xfId="0" applyNumberFormat="1" applyFont="1" applyFill="1" applyBorder="1" applyAlignment="1">
      <alignment horizontal="center" vertical="center"/>
    </xf>
    <xf numFmtId="164" fontId="23" fillId="0" borderId="16" xfId="0" applyNumberFormat="1" applyFont="1" applyFill="1" applyBorder="1" applyAlignment="1">
      <alignment horizontal="center" vertical="center"/>
    </xf>
    <xf numFmtId="49" fontId="18" fillId="3" borderId="3" xfId="0" applyNumberFormat="1" applyFont="1" applyFill="1" applyBorder="1" applyAlignment="1">
      <alignment horizontal="center" vertical="center"/>
    </xf>
    <xf numFmtId="49" fontId="18" fillId="3" borderId="3" xfId="0" applyNumberFormat="1" applyFont="1" applyFill="1" applyBorder="1" applyAlignment="1">
      <alignment horizontal="center" vertical="center"/>
    </xf>
    <xf numFmtId="49" fontId="18" fillId="4" borderId="1" xfId="0" applyNumberFormat="1" applyFont="1" applyFill="1" applyBorder="1" applyAlignment="1">
      <alignment vertical="center"/>
    </xf>
    <xf numFmtId="165" fontId="19" fillId="7" borderId="0" xfId="0" applyNumberFormat="1" applyFont="1" applyFill="1" applyBorder="1" applyAlignment="1">
      <alignment horizontal="center" vertical="center"/>
    </xf>
    <xf numFmtId="165" fontId="19" fillId="7" borderId="9" xfId="0" applyNumberFormat="1" applyFont="1" applyFill="1" applyBorder="1" applyAlignment="1">
      <alignment horizontal="center" vertical="center"/>
    </xf>
    <xf numFmtId="165" fontId="19" fillId="0" borderId="0" xfId="0" applyNumberFormat="1" applyFont="1" applyFill="1" applyBorder="1" applyAlignment="1">
      <alignment horizontal="center" vertical="center"/>
    </xf>
    <xf numFmtId="166" fontId="19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64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18" fillId="0" borderId="0" xfId="0" applyNumberFormat="1" applyFont="1" applyFill="1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49" fontId="24" fillId="3" borderId="3" xfId="0" applyNumberFormat="1" applyFont="1" applyFill="1" applyBorder="1" applyAlignment="1">
      <alignment horizontal="center" vertical="center"/>
    </xf>
    <xf numFmtId="166" fontId="19" fillId="0" borderId="0" xfId="0" applyNumberFormat="1" applyFont="1" applyFill="1" applyAlignment="1">
      <alignment horizontal="center" vertical="center"/>
    </xf>
    <xf numFmtId="166" fontId="23" fillId="0" borderId="2" xfId="0" applyNumberFormat="1" applyFont="1" applyFill="1" applyBorder="1" applyAlignment="1">
      <alignment horizontal="center" vertical="center"/>
    </xf>
    <xf numFmtId="166" fontId="23" fillId="0" borderId="16" xfId="0" applyNumberFormat="1" applyFont="1" applyFill="1" applyBorder="1" applyAlignment="1">
      <alignment horizontal="center" vertical="center"/>
    </xf>
    <xf numFmtId="164" fontId="23" fillId="0" borderId="13" xfId="0" applyNumberFormat="1" applyFont="1" applyFill="1" applyBorder="1" applyAlignment="1">
      <alignment horizontal="center" vertical="center"/>
    </xf>
    <xf numFmtId="166" fontId="23" fillId="0" borderId="13" xfId="0" applyNumberFormat="1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0" borderId="8" xfId="0" applyFont="1" applyFill="1" applyBorder="1" applyAlignment="1">
      <alignment horizontal="center" vertical="center" wrapText="1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49" fontId="18" fillId="3" borderId="3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/>
    </xf>
    <xf numFmtId="166" fontId="25" fillId="10" borderId="1" xfId="0" applyNumberFormat="1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 wrapText="1"/>
    </xf>
    <xf numFmtId="0" fontId="25" fillId="11" borderId="3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/>
    </xf>
    <xf numFmtId="166" fontId="25" fillId="11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vertical="center" wrapText="1"/>
    </xf>
    <xf numFmtId="0" fontId="39" fillId="0" borderId="0" xfId="0" applyFont="1" applyBorder="1">
      <alignment vertical="center"/>
    </xf>
    <xf numFmtId="0" fontId="39" fillId="0" borderId="14" xfId="0" applyFont="1" applyBorder="1">
      <alignment vertical="center"/>
    </xf>
    <xf numFmtId="0" fontId="0" fillId="0" borderId="0" xfId="0" applyBorder="1">
      <alignment vertical="center"/>
    </xf>
    <xf numFmtId="0" fontId="40" fillId="0" borderId="7" xfId="0" applyFont="1" applyBorder="1">
      <alignment vertical="center"/>
    </xf>
    <xf numFmtId="0" fontId="39" fillId="0" borderId="0" xfId="0" applyFont="1">
      <alignment vertical="center"/>
    </xf>
    <xf numFmtId="164" fontId="19" fillId="0" borderId="11" xfId="0" applyNumberFormat="1" applyFont="1" applyFill="1" applyBorder="1" applyAlignment="1">
      <alignment horizontal="center" vertical="center"/>
    </xf>
    <xf numFmtId="164" fontId="19" fillId="0" borderId="1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38" fillId="0" borderId="0" xfId="0" applyFont="1">
      <alignment vertical="center"/>
    </xf>
    <xf numFmtId="0" fontId="30" fillId="9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30" fillId="9" borderId="22" xfId="1" applyFont="1" applyFill="1" applyBorder="1" applyAlignment="1">
      <alignment vertical="center"/>
    </xf>
    <xf numFmtId="0" fontId="30" fillId="9" borderId="23" xfId="1" applyFont="1" applyFill="1" applyBorder="1" applyAlignment="1">
      <alignment vertical="center"/>
    </xf>
    <xf numFmtId="0" fontId="30" fillId="9" borderId="24" xfId="1" applyFont="1" applyFill="1" applyBorder="1" applyAlignment="1">
      <alignment vertical="center"/>
    </xf>
    <xf numFmtId="49" fontId="18" fillId="3" borderId="3" xfId="0" applyNumberFormat="1" applyFont="1" applyFill="1" applyBorder="1" applyAlignment="1">
      <alignment horizontal="center" vertical="center"/>
    </xf>
    <xf numFmtId="0" fontId="31" fillId="9" borderId="21" xfId="1" applyFont="1" applyFill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/>
    </xf>
    <xf numFmtId="0" fontId="28" fillId="4" borderId="7" xfId="0" applyFont="1" applyFill="1" applyBorder="1" applyAlignment="1">
      <alignment horizontal="center" vertical="center"/>
    </xf>
    <xf numFmtId="0" fontId="28" fillId="4" borderId="17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166" fontId="16" fillId="4" borderId="3" xfId="0" applyNumberFormat="1" applyFont="1" applyFill="1" applyBorder="1" applyAlignment="1">
      <alignment horizontal="center" vertical="center"/>
    </xf>
    <xf numFmtId="166" fontId="16" fillId="4" borderId="15" xfId="0" applyNumberFormat="1" applyFont="1" applyFill="1" applyBorder="1" applyAlignment="1">
      <alignment horizontal="center" vertical="center"/>
    </xf>
    <xf numFmtId="166" fontId="16" fillId="3" borderId="3" xfId="0" applyNumberFormat="1" applyFont="1" applyFill="1" applyBorder="1" applyAlignment="1">
      <alignment horizontal="center" vertical="center"/>
    </xf>
    <xf numFmtId="166" fontId="16" fillId="3" borderId="15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49" fontId="18" fillId="3" borderId="3" xfId="0" applyNumberFormat="1" applyFont="1" applyFill="1" applyBorder="1" applyAlignment="1">
      <alignment horizontal="center" vertical="center"/>
    </xf>
    <xf numFmtId="49" fontId="18" fillId="3" borderId="15" xfId="0" applyNumberFormat="1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32" fillId="9" borderId="21" xfId="1" applyFont="1" applyFill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166" fontId="18" fillId="3" borderId="3" xfId="0" applyNumberFormat="1" applyFont="1" applyFill="1" applyBorder="1" applyAlignment="1">
      <alignment horizontal="center" vertical="center"/>
    </xf>
    <xf numFmtId="166" fontId="18" fillId="3" borderId="15" xfId="0" applyNumberFormat="1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 wrapText="1"/>
    </xf>
    <xf numFmtId="0" fontId="18" fillId="8" borderId="0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18" fillId="6" borderId="20" xfId="0" applyFont="1" applyFill="1" applyBorder="1" applyAlignment="1">
      <alignment horizontal="center" vertical="center"/>
    </xf>
    <xf numFmtId="0" fontId="18" fillId="6" borderId="19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33" fillId="4" borderId="0" xfId="0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4" fillId="3" borderId="9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</cellXfs>
  <cellStyles count="2">
    <cellStyle name="Normal" xfId="0" builtinId="0"/>
    <cellStyle name="Vérification" xfId="1" builtinId="2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 altLang="zh-CN" sz="1100" b="1" i="0" baseline="0"/>
              <a:t>r</a:t>
            </a:r>
            <a:r>
              <a:rPr lang="el-GR" altLang="zh-CN" sz="1100" b="1" i="0" baseline="-25000"/>
              <a:t>β</a:t>
            </a:r>
            <a:r>
              <a:rPr lang="el-GR" altLang="zh-CN" sz="1100" b="1" i="0" baseline="0"/>
              <a:t> </a:t>
            </a:r>
            <a:r>
              <a:rPr lang="fr-FR" altLang="zh-CN" sz="1100" b="1" i="0" baseline="0"/>
              <a:t>of Minor and Major Cutting Edge</a:t>
            </a:r>
            <a:endParaRPr lang="zh-CN" altLang="zh-CN" sz="1100"/>
          </a:p>
        </c:rich>
      </c:tx>
      <c:layout>
        <c:manualLayout>
          <c:xMode val="edge"/>
          <c:yMode val="edge"/>
          <c:x val="0.33362674883030974"/>
          <c:y val="4.1114401984155703E-2"/>
        </c:manualLayout>
      </c:layout>
    </c:title>
    <c:plotArea>
      <c:layout>
        <c:manualLayout>
          <c:layoutTarget val="inner"/>
          <c:xMode val="edge"/>
          <c:yMode val="edge"/>
          <c:x val="0.16719685039370077"/>
          <c:y val="0.15524314668999747"/>
          <c:w val="0.58280411256740661"/>
          <c:h val="0.44643044619422578"/>
        </c:manualLayout>
      </c:layout>
      <c:barChart>
        <c:barDir val="col"/>
        <c:grouping val="clustered"/>
        <c:ser>
          <c:idx val="0"/>
          <c:order val="0"/>
          <c:tx>
            <c:strRef>
              <c:f>'final results of profiles'!$B$4</c:f>
              <c:strCache>
                <c:ptCount val="1"/>
                <c:pt idx="0">
                  <c:v>Minor cutting edge</c:v>
                </c:pt>
              </c:strCache>
            </c:strRef>
          </c:tx>
          <c:spPr>
            <a:solidFill>
              <a:srgbClr val="FFC000"/>
            </a:solidFill>
          </c:spPr>
          <c:cat>
            <c:strRef>
              <c:f>'final results of profiles'!$C$4:$J$4</c:f>
              <c:strCache>
                <c:ptCount val="8"/>
                <c:pt idx="0">
                  <c:v>reference </c:v>
                </c:pt>
                <c:pt idx="1">
                  <c:v>abrasive blasting </c:v>
                </c:pt>
                <c:pt idx="2">
                  <c:v>abrasive flow machining</c:v>
                </c:pt>
                <c:pt idx="3">
                  <c:v>honing </c:v>
                </c:pt>
                <c:pt idx="4">
                  <c:v>brushing </c:v>
                </c:pt>
                <c:pt idx="5">
                  <c:v>laser machining</c:v>
                </c:pt>
                <c:pt idx="6">
                  <c:v>magneto-abrasive machining</c:v>
                </c:pt>
                <c:pt idx="7">
                  <c:v>dragging</c:v>
                </c:pt>
              </c:strCache>
            </c:strRef>
          </c:cat>
          <c:val>
            <c:numRef>
              <c:f>'final results of profiles'!$C$5:$J$5</c:f>
              <c:numCache>
                <c:formatCode>0.0_);[Red]\(0.0\)</c:formatCode>
                <c:ptCount val="8"/>
                <c:pt idx="0">
                  <c:v>37.200000000000003</c:v>
                </c:pt>
                <c:pt idx="1">
                  <c:v>53.384999999999998</c:v>
                </c:pt>
                <c:pt idx="2">
                  <c:v>62.852499999999999</c:v>
                </c:pt>
                <c:pt idx="3">
                  <c:v>48.925000000000004</c:v>
                </c:pt>
                <c:pt idx="4">
                  <c:v>60.760000000000005</c:v>
                </c:pt>
                <c:pt idx="5">
                  <c:v>51.307499999999997</c:v>
                </c:pt>
                <c:pt idx="6">
                  <c:v>53.795000000000002</c:v>
                </c:pt>
                <c:pt idx="7">
                  <c:v>42.754999999999995</c:v>
                </c:pt>
              </c:numCache>
            </c:numRef>
          </c:val>
        </c:ser>
        <c:ser>
          <c:idx val="1"/>
          <c:order val="1"/>
          <c:tx>
            <c:strRef>
              <c:f>'final results of profiles'!$B$17</c:f>
              <c:strCache>
                <c:ptCount val="1"/>
                <c:pt idx="0">
                  <c:v>Major cutting edge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cat>
            <c:strRef>
              <c:f>'final results of profiles'!$C$4:$J$4</c:f>
              <c:strCache>
                <c:ptCount val="8"/>
                <c:pt idx="0">
                  <c:v>reference </c:v>
                </c:pt>
                <c:pt idx="1">
                  <c:v>abrasive blasting </c:v>
                </c:pt>
                <c:pt idx="2">
                  <c:v>abrasive flow machining</c:v>
                </c:pt>
                <c:pt idx="3">
                  <c:v>honing </c:v>
                </c:pt>
                <c:pt idx="4">
                  <c:v>brushing </c:v>
                </c:pt>
                <c:pt idx="5">
                  <c:v>laser machining</c:v>
                </c:pt>
                <c:pt idx="6">
                  <c:v>magneto-abrasive machining</c:v>
                </c:pt>
                <c:pt idx="7">
                  <c:v>dragging</c:v>
                </c:pt>
              </c:strCache>
            </c:strRef>
          </c:cat>
          <c:val>
            <c:numRef>
              <c:f>'final results of profiles'!$C$18:$J$18</c:f>
              <c:numCache>
                <c:formatCode>0.0_);[Red]\(0.0\)</c:formatCode>
                <c:ptCount val="8"/>
                <c:pt idx="0">
                  <c:v>37.4</c:v>
                </c:pt>
                <c:pt idx="1">
                  <c:v>55.1</c:v>
                </c:pt>
                <c:pt idx="2">
                  <c:v>51.752499999999998</c:v>
                </c:pt>
                <c:pt idx="3">
                  <c:v>49.122500000000002</c:v>
                </c:pt>
                <c:pt idx="4">
                  <c:v>56.03</c:v>
                </c:pt>
                <c:pt idx="5">
                  <c:v>50.3825</c:v>
                </c:pt>
                <c:pt idx="6">
                  <c:v>52.517499999999998</c:v>
                </c:pt>
                <c:pt idx="7">
                  <c:v>44.64</c:v>
                </c:pt>
              </c:numCache>
            </c:numRef>
          </c:val>
        </c:ser>
        <c:axId val="113780992"/>
        <c:axId val="116376704"/>
      </c:barChart>
      <c:catAx>
        <c:axId val="113780992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116376704"/>
        <c:crosses val="autoZero"/>
        <c:auto val="1"/>
        <c:lblAlgn val="ctr"/>
        <c:lblOffset val="100"/>
      </c:catAx>
      <c:valAx>
        <c:axId val="11637670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>
                    <a:latin typeface="Arial Unicode MS" pitchFamily="34" charset="-122"/>
                    <a:ea typeface="Arial Unicode MS" pitchFamily="34" charset="-122"/>
                    <a:cs typeface="Arial Unicode MS" pitchFamily="34" charset="-122"/>
                  </a:defRPr>
                </a:pPr>
                <a:r>
                  <a:rPr lang="fr-FR" altLang="zh-CN" sz="1000" b="0" i="0" baseline="0">
                    <a:latin typeface="Arial Unicode MS" pitchFamily="34" charset="-122"/>
                    <a:ea typeface="Arial Unicode MS" pitchFamily="34" charset="-122"/>
                    <a:cs typeface="Arial Unicode MS" pitchFamily="34" charset="-122"/>
                  </a:rPr>
                  <a:t> Average r</a:t>
                </a:r>
                <a:r>
                  <a:rPr lang="el-GR" altLang="zh-CN" sz="1000" b="0" i="0" baseline="-25000">
                    <a:latin typeface="Arial Unicode MS" pitchFamily="34" charset="-122"/>
                    <a:ea typeface="Arial Unicode MS" pitchFamily="34" charset="-122"/>
                    <a:cs typeface="Arial Unicode MS" pitchFamily="34" charset="-122"/>
                  </a:rPr>
                  <a:t>β</a:t>
                </a:r>
                <a:r>
                  <a:rPr lang="en-US" altLang="zh-CN" sz="1000" b="0" i="0" baseline="-25000">
                    <a:latin typeface="Arial Unicode MS" pitchFamily="34" charset="-122"/>
                    <a:ea typeface="Arial Unicode MS" pitchFamily="34" charset="-122"/>
                    <a:cs typeface="Arial Unicode MS" pitchFamily="34" charset="-122"/>
                  </a:rPr>
                  <a:t> </a:t>
                </a:r>
                <a:r>
                  <a:rPr lang="zh-CN" altLang="en-US" sz="1000" b="0" i="0" baseline="-25000">
                    <a:latin typeface="Arial Unicode MS" pitchFamily="34" charset="-122"/>
                    <a:ea typeface="Arial Unicode MS" pitchFamily="34" charset="-122"/>
                    <a:cs typeface="Arial Unicode MS" pitchFamily="34" charset="-122"/>
                  </a:rPr>
                  <a:t>（</a:t>
                </a:r>
                <a:r>
                  <a:rPr lang="el-GR" altLang="zh-CN" sz="1000" b="0" i="0" baseline="-25000">
                    <a:latin typeface="Arial Unicode MS" pitchFamily="34" charset="-122"/>
                    <a:ea typeface="Arial Unicode MS" pitchFamily="34" charset="-122"/>
                    <a:cs typeface="Arial Unicode MS" pitchFamily="34" charset="-122"/>
                  </a:rPr>
                  <a:t>μ</a:t>
                </a:r>
                <a:r>
                  <a:rPr lang="fr-FR" altLang="zh-CN" sz="1000" b="0" i="0" baseline="-25000">
                    <a:latin typeface="Arial Unicode MS" pitchFamily="34" charset="-122"/>
                    <a:ea typeface="Arial Unicode MS" pitchFamily="34" charset="-122"/>
                    <a:cs typeface="Arial Unicode MS" pitchFamily="34" charset="-122"/>
                  </a:rPr>
                  <a:t>m</a:t>
                </a:r>
                <a:r>
                  <a:rPr lang="zh-CN" altLang="en-US" sz="1000" b="0" i="0" baseline="-25000">
                    <a:latin typeface="Arial Unicode MS" pitchFamily="34" charset="-122"/>
                    <a:ea typeface="Arial Unicode MS" pitchFamily="34" charset="-122"/>
                    <a:cs typeface="Arial Unicode MS" pitchFamily="34" charset="-122"/>
                  </a:rPr>
                  <a:t>）</a:t>
                </a:r>
                <a:r>
                  <a:rPr lang="el-GR" altLang="zh-CN" sz="1000" b="0" i="0" baseline="0">
                    <a:latin typeface="Arial Unicode MS" pitchFamily="34" charset="-122"/>
                    <a:ea typeface="Arial Unicode MS" pitchFamily="34" charset="-122"/>
                    <a:cs typeface="Arial Unicode MS" pitchFamily="34" charset="-122"/>
                  </a:rPr>
                  <a:t> </a:t>
                </a:r>
                <a:endParaRPr lang="zh-CN" altLang="zh-CN" sz="1000" b="0">
                  <a:latin typeface="Arial Unicode MS" pitchFamily="34" charset="-122"/>
                  <a:ea typeface="Arial Unicode MS" pitchFamily="34" charset="-122"/>
                  <a:cs typeface="Arial Unicode MS" pitchFamily="34" charset="-122"/>
                </a:endParaRPr>
              </a:p>
            </c:rich>
          </c:tx>
          <c:layout>
            <c:manualLayout>
              <c:xMode val="edge"/>
              <c:yMode val="edge"/>
              <c:x val="1.6666666666666691E-2"/>
              <c:y val="0.25953484981044073"/>
            </c:manualLayout>
          </c:layout>
        </c:title>
        <c:numFmt formatCode="0.0_);[Red]\(0.0\)" sourceLinked="1"/>
        <c:tickLblPos val="nextTo"/>
        <c:crossAx val="1137809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 altLang="zh-CN" sz="1100" b="1" i="0" baseline="0"/>
              <a:t>Comparaison of r</a:t>
            </a:r>
            <a:r>
              <a:rPr lang="el-GR" altLang="zh-CN" sz="1100" b="1" i="0" baseline="-25000"/>
              <a:t>β</a:t>
            </a:r>
            <a:r>
              <a:rPr lang="el-GR" altLang="zh-CN" sz="1100" b="1" i="0" baseline="0"/>
              <a:t> </a:t>
            </a:r>
            <a:r>
              <a:rPr lang="fr-FR" altLang="zh-CN" sz="1100" b="1" i="0" baseline="0"/>
              <a:t>Deviation</a:t>
            </a:r>
            <a:endParaRPr lang="zh-CN" altLang="zh-CN" sz="1100"/>
          </a:p>
          <a:p>
            <a:pPr>
              <a:defRPr/>
            </a:pPr>
            <a:r>
              <a:rPr lang="fr-FR" altLang="zh-CN" sz="1050" b="1" i="0" baseline="0"/>
              <a:t>                                ----Minor cutting edge</a:t>
            </a:r>
            <a:endParaRPr lang="zh-CN" altLang="zh-CN" sz="1050"/>
          </a:p>
        </c:rich>
      </c:tx>
      <c:layout>
        <c:manualLayout>
          <c:xMode val="edge"/>
          <c:yMode val="edge"/>
          <c:x val="0.22738888888888889"/>
          <c:y val="3.7037037037037056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rb!$E$24</c:f>
              <c:strCache>
                <c:ptCount val="1"/>
                <c:pt idx="0">
                  <c:v>surfascan</c:v>
                </c:pt>
              </c:strCache>
            </c:strRef>
          </c:tx>
          <c:spPr>
            <a:solidFill>
              <a:schemeClr val="accent1"/>
            </a:solidFill>
          </c:spPr>
          <c:dPt>
            <c:idx val="6"/>
            <c:spPr>
              <a:solidFill>
                <a:schemeClr val="accent1"/>
              </a:solidFill>
              <a:ln w="3175"/>
            </c:spPr>
          </c:dPt>
          <c:errBars>
            <c:errBarType val="both"/>
            <c:errValType val="cust"/>
            <c:noEndCap val="1"/>
            <c:plus>
              <c:numRef>
                <c:f>rb!$F$31:$M$31</c:f>
                <c:numCache>
                  <c:formatCode>General</c:formatCode>
                  <c:ptCount val="8"/>
                  <c:pt idx="0">
                    <c:v>1.1887388274975346</c:v>
                  </c:pt>
                  <c:pt idx="1">
                    <c:v>1.5904192319426802</c:v>
                  </c:pt>
                  <c:pt idx="2">
                    <c:v>3.7831765753134867</c:v>
                  </c:pt>
                  <c:pt idx="3">
                    <c:v>2.0968150450941381</c:v>
                  </c:pt>
                  <c:pt idx="4">
                    <c:v>2.872246507526536</c:v>
                  </c:pt>
                  <c:pt idx="5">
                    <c:v>2.2608460805635908</c:v>
                  </c:pt>
                  <c:pt idx="6">
                    <c:v>1.5500645147863827</c:v>
                  </c:pt>
                  <c:pt idx="7">
                    <c:v>0.30405591591112596</c:v>
                  </c:pt>
                </c:numCache>
              </c:numRef>
            </c:plus>
            <c:minus>
              <c:numRef>
                <c:f>rb!$F$31:$M$31</c:f>
                <c:numCache>
                  <c:formatCode>General</c:formatCode>
                  <c:ptCount val="8"/>
                  <c:pt idx="0">
                    <c:v>1.1887388274975346</c:v>
                  </c:pt>
                  <c:pt idx="1">
                    <c:v>1.5904192319426802</c:v>
                  </c:pt>
                  <c:pt idx="2">
                    <c:v>3.7831765753134867</c:v>
                  </c:pt>
                  <c:pt idx="3">
                    <c:v>2.0968150450941381</c:v>
                  </c:pt>
                  <c:pt idx="4">
                    <c:v>2.872246507526536</c:v>
                  </c:pt>
                  <c:pt idx="5">
                    <c:v>2.2608460805635908</c:v>
                  </c:pt>
                  <c:pt idx="6">
                    <c:v>1.5500645147863827</c:v>
                  </c:pt>
                  <c:pt idx="7">
                    <c:v>0.30405591591112596</c:v>
                  </c:pt>
                </c:numCache>
              </c:numRef>
            </c:minus>
            <c:spPr>
              <a:ln w="107950" cap="flat" cmpd="sng">
                <a:solidFill>
                  <a:srgbClr val="4F81BD">
                    <a:lumMod val="60000"/>
                    <a:lumOff val="40000"/>
                    <a:alpha val="67000"/>
                  </a:srgbClr>
                </a:solidFill>
              </a:ln>
              <a:effectLst/>
            </c:spPr>
          </c:errBars>
          <c:cat>
            <c:strRef>
              <c:f>rb!$F$23:$M$23</c:f>
              <c:strCache>
                <c:ptCount val="8"/>
                <c:pt idx="0">
                  <c:v>reference</c:v>
                </c:pt>
                <c:pt idx="1">
                  <c:v>abrasive blasting </c:v>
                </c:pt>
                <c:pt idx="2">
                  <c:v>abrasive flow machining</c:v>
                </c:pt>
                <c:pt idx="3">
                  <c:v>honing</c:v>
                </c:pt>
                <c:pt idx="4">
                  <c:v>brushing</c:v>
                </c:pt>
                <c:pt idx="5">
                  <c:v>Laser machining</c:v>
                </c:pt>
                <c:pt idx="6">
                  <c:v>magneto-abrasive machining </c:v>
                </c:pt>
                <c:pt idx="7">
                  <c:v>dragging</c:v>
                </c:pt>
              </c:strCache>
            </c:strRef>
          </c:cat>
          <c:val>
            <c:numRef>
              <c:f>rb!$F$24:$M$24</c:f>
              <c:numCache>
                <c:formatCode>0.0_);[Red]\(0.0\)</c:formatCode>
                <c:ptCount val="8"/>
                <c:pt idx="0">
                  <c:v>37.200000000000003</c:v>
                </c:pt>
                <c:pt idx="1">
                  <c:v>53.384999999999998</c:v>
                </c:pt>
                <c:pt idx="2">
                  <c:v>62.852499999999999</c:v>
                </c:pt>
                <c:pt idx="3">
                  <c:v>48.924999999999997</c:v>
                </c:pt>
                <c:pt idx="4">
                  <c:v>60.760000000000005</c:v>
                </c:pt>
                <c:pt idx="5">
                  <c:v>51.307499999999997</c:v>
                </c:pt>
                <c:pt idx="6">
                  <c:v>53.795000000000002</c:v>
                </c:pt>
                <c:pt idx="7">
                  <c:v>42.754999999999995</c:v>
                </c:pt>
              </c:numCache>
            </c:numRef>
          </c:val>
        </c:ser>
        <c:ser>
          <c:idx val="1"/>
          <c:order val="1"/>
          <c:tx>
            <c:strRef>
              <c:f>rb!$E$25</c:f>
              <c:strCache>
                <c:ptCount val="1"/>
                <c:pt idx="0">
                  <c:v>mex</c:v>
                </c:pt>
              </c:strCache>
            </c:strRef>
          </c:tx>
          <c:errBars>
            <c:errBarType val="both"/>
            <c:errValType val="cust"/>
            <c:noEndCap val="1"/>
            <c:plus>
              <c:numRef>
                <c:f>rb!$F$32:$M$32</c:f>
                <c:numCache>
                  <c:formatCode>General</c:formatCode>
                  <c:ptCount val="8"/>
                  <c:pt idx="0">
                    <c:v>1.5545524543524811</c:v>
                  </c:pt>
                  <c:pt idx="1">
                    <c:v>4.0358397721746799</c:v>
                  </c:pt>
                  <c:pt idx="2">
                    <c:v>2.0232608169322073</c:v>
                  </c:pt>
                  <c:pt idx="3">
                    <c:v>4.9012685432787118</c:v>
                  </c:pt>
                  <c:pt idx="4">
                    <c:v>6.8727924213282181</c:v>
                  </c:pt>
                  <c:pt idx="5">
                    <c:v>4.1157852531443098</c:v>
                  </c:pt>
                  <c:pt idx="6">
                    <c:v>5.8319407861648571</c:v>
                  </c:pt>
                  <c:pt idx="7">
                    <c:v>1.5556349186104279</c:v>
                  </c:pt>
                </c:numCache>
              </c:numRef>
            </c:plus>
            <c:minus>
              <c:numRef>
                <c:f>rb!$F$32:$M$32</c:f>
                <c:numCache>
                  <c:formatCode>General</c:formatCode>
                  <c:ptCount val="8"/>
                  <c:pt idx="0">
                    <c:v>1.5545524543524811</c:v>
                  </c:pt>
                  <c:pt idx="1">
                    <c:v>4.0358397721746799</c:v>
                  </c:pt>
                  <c:pt idx="2">
                    <c:v>2.0232608169322073</c:v>
                  </c:pt>
                  <c:pt idx="3">
                    <c:v>4.9012685432787118</c:v>
                  </c:pt>
                  <c:pt idx="4">
                    <c:v>6.8727924213282181</c:v>
                  </c:pt>
                  <c:pt idx="5">
                    <c:v>4.1157852531443098</c:v>
                  </c:pt>
                  <c:pt idx="6">
                    <c:v>5.8319407861648571</c:v>
                  </c:pt>
                  <c:pt idx="7">
                    <c:v>1.5556349186104279</c:v>
                  </c:pt>
                </c:numCache>
              </c:numRef>
            </c:minus>
            <c:spPr>
              <a:ln w="123825">
                <a:solidFill>
                  <a:srgbClr val="FFC000">
                    <a:alpha val="50000"/>
                  </a:srgbClr>
                </a:solidFill>
              </a:ln>
            </c:spPr>
          </c:errBars>
          <c:cat>
            <c:strRef>
              <c:f>rb!$F$23:$M$23</c:f>
              <c:strCache>
                <c:ptCount val="8"/>
                <c:pt idx="0">
                  <c:v>reference</c:v>
                </c:pt>
                <c:pt idx="1">
                  <c:v>abrasive blasting </c:v>
                </c:pt>
                <c:pt idx="2">
                  <c:v>abrasive flow machining</c:v>
                </c:pt>
                <c:pt idx="3">
                  <c:v>honing</c:v>
                </c:pt>
                <c:pt idx="4">
                  <c:v>brushing</c:v>
                </c:pt>
                <c:pt idx="5">
                  <c:v>Laser machining</c:v>
                </c:pt>
                <c:pt idx="6">
                  <c:v>magneto-abrasive machining </c:v>
                </c:pt>
                <c:pt idx="7">
                  <c:v>dragging</c:v>
                </c:pt>
              </c:strCache>
            </c:strRef>
          </c:cat>
          <c:val>
            <c:numRef>
              <c:f>rb!$F$25:$M$25</c:f>
              <c:numCache>
                <c:formatCode>0.0_);[Red]\(0.0\)</c:formatCode>
                <c:ptCount val="8"/>
                <c:pt idx="0">
                  <c:v>12</c:v>
                </c:pt>
                <c:pt idx="1">
                  <c:v>26.4</c:v>
                </c:pt>
                <c:pt idx="2">
                  <c:v>28.335666666666668</c:v>
                </c:pt>
                <c:pt idx="3">
                  <c:v>22.3</c:v>
                </c:pt>
                <c:pt idx="4">
                  <c:v>36.5715</c:v>
                </c:pt>
                <c:pt idx="5">
                  <c:v>29.164249999999999</c:v>
                </c:pt>
                <c:pt idx="6">
                  <c:v>27.91</c:v>
                </c:pt>
                <c:pt idx="7">
                  <c:v>27.15</c:v>
                </c:pt>
              </c:numCache>
            </c:numRef>
          </c:val>
        </c:ser>
        <c:axId val="116765440"/>
        <c:axId val="116766976"/>
      </c:barChart>
      <c:catAx>
        <c:axId val="116765440"/>
        <c:scaling>
          <c:orientation val="minMax"/>
        </c:scaling>
        <c:axPos val="b"/>
        <c:tickLblPos val="nextTo"/>
        <c:crossAx val="116766976"/>
        <c:crosses val="autoZero"/>
        <c:auto val="1"/>
        <c:lblAlgn val="ctr"/>
        <c:lblOffset val="100"/>
      </c:catAx>
      <c:valAx>
        <c:axId val="1167669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Average</a:t>
                </a:r>
                <a:r>
                  <a:rPr lang="en-US" altLang="zh-CN" baseline="0"/>
                  <a:t> r</a:t>
                </a:r>
                <a:r>
                  <a:rPr lang="el-GR" altLang="zh-CN" baseline="-25000"/>
                  <a:t>β</a:t>
                </a:r>
                <a:r>
                  <a:rPr lang="zh-CN" altLang="el-GR" baseline="0"/>
                  <a:t>（</a:t>
                </a:r>
                <a:r>
                  <a:rPr lang="el-GR" altLang="zh-CN" baseline="0"/>
                  <a:t>μ</a:t>
                </a:r>
                <a:r>
                  <a:rPr lang="en-US" altLang="zh-CN" baseline="0"/>
                  <a:t>m</a:t>
                </a:r>
                <a:r>
                  <a:rPr lang="zh-CN" altLang="en-US" baseline="0"/>
                  <a:t>）</a:t>
                </a:r>
                <a:endParaRPr lang="zh-CN" altLang="en-US"/>
              </a:p>
            </c:rich>
          </c:tx>
          <c:layout/>
        </c:title>
        <c:numFmt formatCode="0.0_);[Red]\(0.0\)" sourceLinked="1"/>
        <c:tickLblPos val="nextTo"/>
        <c:crossAx val="11676544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 altLang="zh-CN" sz="1100" b="1" i="0" baseline="0"/>
              <a:t>Comparaison of r</a:t>
            </a:r>
            <a:r>
              <a:rPr lang="el-GR" altLang="zh-CN" sz="1100" b="1" i="0" baseline="-25000"/>
              <a:t>β</a:t>
            </a:r>
            <a:r>
              <a:rPr lang="el-GR" altLang="zh-CN" sz="1100" b="1" i="0" baseline="0"/>
              <a:t> </a:t>
            </a:r>
            <a:r>
              <a:rPr lang="fr-FR" altLang="zh-CN" sz="1100" b="1" i="0" baseline="0"/>
              <a:t>Deviation</a:t>
            </a:r>
            <a:endParaRPr lang="zh-CN" altLang="zh-CN" sz="1100"/>
          </a:p>
          <a:p>
            <a:pPr>
              <a:defRPr/>
            </a:pPr>
            <a:r>
              <a:rPr lang="fr-FR" altLang="zh-CN" sz="1050" b="1" i="0" baseline="0"/>
              <a:t>                                ----Major cutting edge</a:t>
            </a:r>
            <a:endParaRPr lang="zh-CN" altLang="zh-CN" sz="1050"/>
          </a:p>
        </c:rich>
      </c:tx>
      <c:layout>
        <c:manualLayout>
          <c:xMode val="edge"/>
          <c:yMode val="edge"/>
          <c:x val="0.22738888888888889"/>
          <c:y val="3.7037037037037056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rb!$E$26</c:f>
              <c:strCache>
                <c:ptCount val="1"/>
                <c:pt idx="0">
                  <c:v>surfascan</c:v>
                </c:pt>
              </c:strCache>
            </c:strRef>
          </c:tx>
          <c:errBars>
            <c:errBarType val="both"/>
            <c:errValType val="cust"/>
            <c:noEndCap val="1"/>
            <c:plus>
              <c:numRef>
                <c:f>rb!$F$33:$M$33</c:f>
                <c:numCache>
                  <c:formatCode>General</c:formatCode>
                  <c:ptCount val="8"/>
                  <c:pt idx="0">
                    <c:v>2.4436925611322513</c:v>
                  </c:pt>
                  <c:pt idx="1">
                    <c:v>0.8458132181511091</c:v>
                  </c:pt>
                  <c:pt idx="2">
                    <c:v>3.8123254058382567</c:v>
                  </c:pt>
                  <c:pt idx="3">
                    <c:v>1.3293200016045781</c:v>
                  </c:pt>
                  <c:pt idx="4">
                    <c:v>2.4757355809268917</c:v>
                  </c:pt>
                  <c:pt idx="5">
                    <c:v>1.4611496615106836</c:v>
                  </c:pt>
                  <c:pt idx="6">
                    <c:v>1.3390886204183237</c:v>
                  </c:pt>
                  <c:pt idx="7">
                    <c:v>1.371787155501943</c:v>
                  </c:pt>
                </c:numCache>
              </c:numRef>
            </c:plus>
            <c:minus>
              <c:numRef>
                <c:f>rb!$F$33:$M$33</c:f>
                <c:numCache>
                  <c:formatCode>General</c:formatCode>
                  <c:ptCount val="8"/>
                  <c:pt idx="0">
                    <c:v>2.4436925611322513</c:v>
                  </c:pt>
                  <c:pt idx="1">
                    <c:v>0.8458132181511091</c:v>
                  </c:pt>
                  <c:pt idx="2">
                    <c:v>3.8123254058382567</c:v>
                  </c:pt>
                  <c:pt idx="3">
                    <c:v>1.3293200016045781</c:v>
                  </c:pt>
                  <c:pt idx="4">
                    <c:v>2.4757355809268917</c:v>
                  </c:pt>
                  <c:pt idx="5">
                    <c:v>1.4611496615106836</c:v>
                  </c:pt>
                  <c:pt idx="6">
                    <c:v>1.3390886204183237</c:v>
                  </c:pt>
                  <c:pt idx="7">
                    <c:v>1.371787155501943</c:v>
                  </c:pt>
                </c:numCache>
              </c:numRef>
            </c:minus>
            <c:spPr>
              <a:ln w="101600">
                <a:solidFill>
                  <a:srgbClr val="1F497D">
                    <a:lumMod val="40000"/>
                    <a:lumOff val="60000"/>
                    <a:alpha val="80000"/>
                  </a:srgbClr>
                </a:solidFill>
              </a:ln>
            </c:spPr>
          </c:errBars>
          <c:cat>
            <c:strRef>
              <c:f>rb!$F$23:$M$23</c:f>
              <c:strCache>
                <c:ptCount val="8"/>
                <c:pt idx="0">
                  <c:v>reference</c:v>
                </c:pt>
                <c:pt idx="1">
                  <c:v>abrasive blasting </c:v>
                </c:pt>
                <c:pt idx="2">
                  <c:v>abrasive flow machining</c:v>
                </c:pt>
                <c:pt idx="3">
                  <c:v>honing</c:v>
                </c:pt>
                <c:pt idx="4">
                  <c:v>brushing</c:v>
                </c:pt>
                <c:pt idx="5">
                  <c:v>Laser machining</c:v>
                </c:pt>
                <c:pt idx="6">
                  <c:v>magneto-abrasive machining </c:v>
                </c:pt>
                <c:pt idx="7">
                  <c:v>dragging</c:v>
                </c:pt>
              </c:strCache>
            </c:strRef>
          </c:cat>
          <c:val>
            <c:numRef>
              <c:f>rb!$F$26:$M$26</c:f>
              <c:numCache>
                <c:formatCode>0.0_);[Red]\(0.0\)</c:formatCode>
                <c:ptCount val="8"/>
                <c:pt idx="0">
                  <c:v>37.4</c:v>
                </c:pt>
                <c:pt idx="1">
                  <c:v>55.120000000000005</c:v>
                </c:pt>
                <c:pt idx="2">
                  <c:v>51.752499999999998</c:v>
                </c:pt>
                <c:pt idx="3">
                  <c:v>49.1</c:v>
                </c:pt>
                <c:pt idx="4">
                  <c:v>56.03</c:v>
                </c:pt>
                <c:pt idx="5">
                  <c:v>50.3825</c:v>
                </c:pt>
                <c:pt idx="6">
                  <c:v>52.517499999999998</c:v>
                </c:pt>
                <c:pt idx="7">
                  <c:v>44.64</c:v>
                </c:pt>
              </c:numCache>
            </c:numRef>
          </c:val>
        </c:ser>
        <c:ser>
          <c:idx val="1"/>
          <c:order val="1"/>
          <c:tx>
            <c:strRef>
              <c:f>rb!$E$27</c:f>
              <c:strCache>
                <c:ptCount val="1"/>
                <c:pt idx="0">
                  <c:v>mex</c:v>
                </c:pt>
              </c:strCache>
            </c:strRef>
          </c:tx>
          <c:errBars>
            <c:errBarType val="both"/>
            <c:errValType val="cust"/>
            <c:noEndCap val="1"/>
            <c:plus>
              <c:numRef>
                <c:f>rb!$F$33:$M$33</c:f>
                <c:numCache>
                  <c:formatCode>General</c:formatCode>
                  <c:ptCount val="8"/>
                  <c:pt idx="0">
                    <c:v>2.4436925611322513</c:v>
                  </c:pt>
                  <c:pt idx="1">
                    <c:v>0.8458132181511091</c:v>
                  </c:pt>
                  <c:pt idx="2">
                    <c:v>3.8123254058382567</c:v>
                  </c:pt>
                  <c:pt idx="3">
                    <c:v>1.3293200016045781</c:v>
                  </c:pt>
                  <c:pt idx="4">
                    <c:v>2.4757355809268917</c:v>
                  </c:pt>
                  <c:pt idx="5">
                    <c:v>1.4611496615106836</c:v>
                  </c:pt>
                  <c:pt idx="6">
                    <c:v>1.3390886204183237</c:v>
                  </c:pt>
                  <c:pt idx="7">
                    <c:v>1.371787155501943</c:v>
                  </c:pt>
                </c:numCache>
              </c:numRef>
            </c:plus>
            <c:minus>
              <c:numRef>
                <c:f>rb!$F$34:$M$34</c:f>
                <c:numCache>
                  <c:formatCode>General</c:formatCode>
                  <c:ptCount val="8"/>
                  <c:pt idx="0">
                    <c:v>6.0299336646434263</c:v>
                  </c:pt>
                  <c:pt idx="1">
                    <c:v>1.7809805351734052</c:v>
                  </c:pt>
                  <c:pt idx="2">
                    <c:v>3.2350434309295069</c:v>
                  </c:pt>
                  <c:pt idx="3">
                    <c:v>2.692968668588624</c:v>
                  </c:pt>
                  <c:pt idx="4">
                    <c:v>8.3297384312674083</c:v>
                  </c:pt>
                  <c:pt idx="5">
                    <c:v>2.6873819198865778</c:v>
                  </c:pt>
                  <c:pt idx="6">
                    <c:v>7.1187514822942468</c:v>
                  </c:pt>
                  <c:pt idx="7">
                    <c:v>1.8314065632731971</c:v>
                  </c:pt>
                </c:numCache>
              </c:numRef>
            </c:minus>
            <c:spPr>
              <a:ln w="111125">
                <a:solidFill>
                  <a:srgbClr val="FFC000">
                    <a:alpha val="60000"/>
                  </a:srgbClr>
                </a:solidFill>
              </a:ln>
            </c:spPr>
          </c:errBars>
          <c:cat>
            <c:strRef>
              <c:f>rb!$F$23:$M$23</c:f>
              <c:strCache>
                <c:ptCount val="8"/>
                <c:pt idx="0">
                  <c:v>reference</c:v>
                </c:pt>
                <c:pt idx="1">
                  <c:v>abrasive blasting </c:v>
                </c:pt>
                <c:pt idx="2">
                  <c:v>abrasive flow machining</c:v>
                </c:pt>
                <c:pt idx="3">
                  <c:v>honing</c:v>
                </c:pt>
                <c:pt idx="4">
                  <c:v>brushing</c:v>
                </c:pt>
                <c:pt idx="5">
                  <c:v>Laser machining</c:v>
                </c:pt>
                <c:pt idx="6">
                  <c:v>magneto-abrasive machining </c:v>
                </c:pt>
                <c:pt idx="7">
                  <c:v>dragging</c:v>
                </c:pt>
              </c:strCache>
            </c:strRef>
          </c:cat>
          <c:val>
            <c:numRef>
              <c:f>rb!$F$27:$M$27</c:f>
              <c:numCache>
                <c:formatCode>0.0_);[Red]\(0.0\)</c:formatCode>
                <c:ptCount val="8"/>
                <c:pt idx="0">
                  <c:v>14.8</c:v>
                </c:pt>
                <c:pt idx="1">
                  <c:v>28.4</c:v>
                </c:pt>
                <c:pt idx="2">
                  <c:v>34.271999999999998</c:v>
                </c:pt>
                <c:pt idx="3">
                  <c:v>23.7</c:v>
                </c:pt>
                <c:pt idx="4">
                  <c:v>36.8215</c:v>
                </c:pt>
                <c:pt idx="5">
                  <c:v>30.773250000000001</c:v>
                </c:pt>
                <c:pt idx="6">
                  <c:v>30.727</c:v>
                </c:pt>
                <c:pt idx="7">
                  <c:v>20.674999999999997</c:v>
                </c:pt>
              </c:numCache>
            </c:numRef>
          </c:val>
        </c:ser>
        <c:axId val="117690368"/>
        <c:axId val="117691904"/>
      </c:barChart>
      <c:catAx>
        <c:axId val="117690368"/>
        <c:scaling>
          <c:orientation val="minMax"/>
        </c:scaling>
        <c:axPos val="b"/>
        <c:tickLblPos val="nextTo"/>
        <c:crossAx val="117691904"/>
        <c:crosses val="autoZero"/>
        <c:auto val="1"/>
        <c:lblAlgn val="ctr"/>
        <c:lblOffset val="100"/>
      </c:catAx>
      <c:valAx>
        <c:axId val="11769190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Average</a:t>
                </a:r>
                <a:r>
                  <a:rPr lang="en-US" altLang="zh-CN" baseline="0"/>
                  <a:t> r</a:t>
                </a:r>
                <a:r>
                  <a:rPr lang="el-GR" altLang="zh-CN" baseline="-25000"/>
                  <a:t>β</a:t>
                </a:r>
                <a:r>
                  <a:rPr lang="zh-CN" altLang="el-GR" baseline="0"/>
                  <a:t>（</a:t>
                </a:r>
                <a:r>
                  <a:rPr lang="el-GR" altLang="zh-CN" baseline="0"/>
                  <a:t>μ</a:t>
                </a:r>
                <a:r>
                  <a:rPr lang="en-US" altLang="zh-CN" baseline="0"/>
                  <a:t>m</a:t>
                </a:r>
                <a:r>
                  <a:rPr lang="zh-CN" altLang="en-US" baseline="0"/>
                  <a:t>）</a:t>
                </a:r>
                <a:endParaRPr lang="zh-CN" altLang="en-US"/>
              </a:p>
            </c:rich>
          </c:tx>
          <c:layout/>
        </c:title>
        <c:numFmt formatCode="0.0_);[Red]\(0.0\)" sourceLinked="1"/>
        <c:tickLblPos val="nextTo"/>
        <c:crossAx val="1176903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2</xdr:row>
      <xdr:rowOff>161925</xdr:rowOff>
    </xdr:from>
    <xdr:to>
      <xdr:col>6</xdr:col>
      <xdr:colOff>523875</xdr:colOff>
      <xdr:row>24</xdr:row>
      <xdr:rowOff>47625</xdr:rowOff>
    </xdr:to>
    <xdr:pic>
      <xdr:nvPicPr>
        <xdr:cNvPr id="131489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8203" t="43500" r="42030" b="10750"/>
        <a:stretch>
          <a:fillRect/>
        </a:stretch>
      </xdr:blipFill>
      <xdr:spPr bwMode="auto">
        <a:xfrm>
          <a:off x="828675" y="685800"/>
          <a:ext cx="3867150" cy="3657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123825</xdr:colOff>
      <xdr:row>24</xdr:row>
      <xdr:rowOff>95250</xdr:rowOff>
    </xdr:from>
    <xdr:to>
      <xdr:col>14</xdr:col>
      <xdr:colOff>571501</xdr:colOff>
      <xdr:row>30</xdr:row>
      <xdr:rowOff>95250</xdr:rowOff>
    </xdr:to>
    <xdr:sp macro="" textlink="">
      <xdr:nvSpPr>
        <xdr:cNvPr id="4" name="TextBox 3"/>
        <xdr:cNvSpPr txBox="1"/>
      </xdr:nvSpPr>
      <xdr:spPr>
        <a:xfrm>
          <a:off x="5600700" y="4210050"/>
          <a:ext cx="4572001" cy="10287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γ</a:t>
          </a:r>
          <a:r>
            <a:rPr lang="en-US" altLang="zh-CN" sz="1100" b="1" baseline="-25000">
              <a:solidFill>
                <a:schemeClr val="dk1"/>
              </a:solidFill>
              <a:latin typeface="+mn-lt"/>
              <a:ea typeface="+mn-ea"/>
              <a:cs typeface="+mn-cs"/>
            </a:rPr>
            <a:t>f</a:t>
          </a:r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 : </a:t>
          </a:r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angle between face and vertical plane</a:t>
          </a:r>
        </a:p>
        <a:p>
          <a:r>
            <a:rPr lang="zh-CN" altLang="zh-CN" b="1"/>
            <a:t> </a:t>
          </a:r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β</a:t>
          </a:r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: angle between face and flank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α</a:t>
          </a:r>
          <a:r>
            <a:rPr lang="en-US" altLang="zh-CN" sz="1100" b="1" baseline="-25000">
              <a:solidFill>
                <a:schemeClr val="dk1"/>
              </a:solidFill>
              <a:latin typeface="+mn-lt"/>
              <a:ea typeface="+mn-ea"/>
              <a:cs typeface="+mn-cs"/>
            </a:rPr>
            <a:t>f</a:t>
          </a:r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angle between flank and workpiece for major cutting edge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α</a:t>
          </a:r>
          <a:r>
            <a:rPr lang="en-US" altLang="zh-CN" sz="1100" b="1" baseline="-25000">
              <a:solidFill>
                <a:schemeClr val="dk1"/>
              </a:solidFill>
              <a:latin typeface="+mn-lt"/>
              <a:ea typeface="+mn-ea"/>
              <a:cs typeface="+mn-cs"/>
            </a:rPr>
            <a:t>p</a:t>
          </a:r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angle between flank and workpiece for minor cutting edge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γ</a:t>
          </a:r>
          <a:r>
            <a:rPr lang="en-US" altLang="zh-CN" sz="1100" b="1" baseline="-25000">
              <a:solidFill>
                <a:schemeClr val="dk1"/>
              </a:solidFill>
              <a:latin typeface="+mn-lt"/>
              <a:ea typeface="+mn-ea"/>
              <a:cs typeface="+mn-cs"/>
            </a:rPr>
            <a:t>ch</a:t>
          </a:r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angle between chamfer and workpiec</a:t>
          </a:r>
          <a:endParaRPr lang="zh-CN" altLang="en-US" sz="1100"/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6</xdr:col>
      <xdr:colOff>542924</xdr:colOff>
      <xdr:row>29</xdr:row>
      <xdr:rowOff>142875</xdr:rowOff>
    </xdr:to>
    <xdr:sp macro="" textlink="">
      <xdr:nvSpPr>
        <xdr:cNvPr id="5" name="TextBox 4"/>
        <xdr:cNvSpPr txBox="1"/>
      </xdr:nvSpPr>
      <xdr:spPr>
        <a:xfrm>
          <a:off x="685800" y="4286250"/>
          <a:ext cx="3962399" cy="8286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l-GR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θ</a:t>
          </a:r>
          <a:r>
            <a:rPr lang="en-US" altLang="zh-CN" sz="1100" b="1" baseline="-25000">
              <a:solidFill>
                <a:schemeClr val="dk1"/>
              </a:solidFill>
              <a:latin typeface="+mn-lt"/>
              <a:ea typeface="+mn-ea"/>
              <a:cs typeface="+mn-cs"/>
            </a:rPr>
            <a:t>face</a:t>
          </a:r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 : </a:t>
          </a:r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angle between chamfer and cutting face</a:t>
          </a:r>
        </a:p>
        <a:p>
          <a:r>
            <a:rPr lang="el-GR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θ</a:t>
          </a:r>
          <a:r>
            <a:rPr lang="en-US" altLang="zh-CN" sz="1100" b="1" baseline="-25000">
              <a:solidFill>
                <a:schemeClr val="dk1"/>
              </a:solidFill>
              <a:latin typeface="+mn-lt"/>
              <a:ea typeface="+mn-ea"/>
              <a:cs typeface="+mn-cs"/>
            </a:rPr>
            <a:t>flank</a:t>
          </a:r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: angle between chamfer and flank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α</a:t>
          </a:r>
          <a:r>
            <a:rPr lang="en-US" altLang="zh-CN" sz="1100" b="1" baseline="-25000">
              <a:solidFill>
                <a:schemeClr val="dk1"/>
              </a:solidFill>
              <a:latin typeface="+mn-lt"/>
              <a:ea typeface="+mn-ea"/>
              <a:cs typeface="+mn-cs"/>
            </a:rPr>
            <a:t>f</a:t>
          </a:r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angle between flank and workpiece for major cutting edge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r</a:t>
          </a:r>
          <a:r>
            <a:rPr lang="el-GR" altLang="zh-CN" sz="1100" b="1" baseline="-25000">
              <a:solidFill>
                <a:schemeClr val="dk1"/>
              </a:solidFill>
              <a:latin typeface="+mn-lt"/>
              <a:ea typeface="+mn-ea"/>
              <a:cs typeface="+mn-cs"/>
            </a:rPr>
            <a:t>β </a:t>
          </a:r>
          <a:r>
            <a:rPr lang="en-US" altLang="zh-CN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: </a:t>
          </a:r>
          <a:r>
            <a:rPr lang="en-US" altLang="zh-CN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radius  between flank and chamfer</a:t>
          </a:r>
          <a:endParaRPr lang="zh-CN" altLang="en-US" sz="1100" b="0" baseline="0"/>
        </a:p>
      </xdr:txBody>
    </xdr:sp>
    <xdr:clientData/>
  </xdr:twoCellAnchor>
  <xdr:twoCellAnchor>
    <xdr:from>
      <xdr:col>7</xdr:col>
      <xdr:colOff>619125</xdr:colOff>
      <xdr:row>38</xdr:row>
      <xdr:rowOff>0</xdr:rowOff>
    </xdr:from>
    <xdr:to>
      <xdr:col>10</xdr:col>
      <xdr:colOff>390525</xdr:colOff>
      <xdr:row>51</xdr:row>
      <xdr:rowOff>114300</xdr:rowOff>
    </xdr:to>
    <xdr:grpSp>
      <xdr:nvGrpSpPr>
        <xdr:cNvPr id="131492" name="Group 1"/>
        <xdr:cNvGrpSpPr>
          <a:grpSpLocks/>
        </xdr:cNvGrpSpPr>
      </xdr:nvGrpSpPr>
      <xdr:grpSpPr bwMode="auto">
        <a:xfrm>
          <a:off x="4876800" y="7410450"/>
          <a:ext cx="1609725" cy="2590800"/>
          <a:chOff x="6267" y="9345"/>
          <a:chExt cx="3755" cy="5910"/>
        </a:xfrm>
      </xdr:grpSpPr>
      <xdr:grpSp>
        <xdr:nvGrpSpPr>
          <xdr:cNvPr id="131522" name="Group 2"/>
          <xdr:cNvGrpSpPr>
            <a:grpSpLocks/>
          </xdr:cNvGrpSpPr>
        </xdr:nvGrpSpPr>
        <xdr:grpSpPr bwMode="auto">
          <a:xfrm>
            <a:off x="7845" y="9345"/>
            <a:ext cx="1352" cy="4620"/>
            <a:chOff x="7845" y="9345"/>
            <a:chExt cx="1352" cy="4620"/>
          </a:xfrm>
        </xdr:grpSpPr>
        <xdr:grpSp>
          <xdr:nvGrpSpPr>
            <xdr:cNvPr id="131529" name="Group 3"/>
            <xdr:cNvGrpSpPr>
              <a:grpSpLocks/>
            </xdr:cNvGrpSpPr>
          </xdr:nvGrpSpPr>
          <xdr:grpSpPr bwMode="auto">
            <a:xfrm>
              <a:off x="7845" y="9345"/>
              <a:ext cx="1351" cy="435"/>
              <a:chOff x="7845" y="9345"/>
              <a:chExt cx="1500" cy="510"/>
            </a:xfrm>
          </xdr:grpSpPr>
          <xdr:cxnSp macro="">
            <xdr:nvCxnSpPr>
              <xdr:cNvPr id="131534" name="AutoShape 4"/>
              <xdr:cNvCxnSpPr>
                <a:cxnSpLocks noChangeShapeType="1"/>
              </xdr:cNvCxnSpPr>
            </xdr:nvCxnSpPr>
            <xdr:spPr bwMode="auto">
              <a:xfrm>
                <a:off x="7965" y="9345"/>
                <a:ext cx="1380" cy="510"/>
              </a:xfrm>
              <a:prstGeom prst="straightConnector1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</xdr:spPr>
          </xdr:cxnSp>
          <xdr:cxnSp macro="">
            <xdr:nvCxnSpPr>
              <xdr:cNvPr id="131535" name="AutoShape 5"/>
              <xdr:cNvCxnSpPr>
                <a:cxnSpLocks noChangeShapeType="1"/>
              </xdr:cNvCxnSpPr>
            </xdr:nvCxnSpPr>
            <xdr:spPr bwMode="auto">
              <a:xfrm flipH="1">
                <a:off x="7845" y="9345"/>
                <a:ext cx="120" cy="0"/>
              </a:xfrm>
              <a:prstGeom prst="straightConnector1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</xdr:spPr>
          </xdr:cxnSp>
        </xdr:grpSp>
        <xdr:cxnSp macro="">
          <xdr:nvCxnSpPr>
            <xdr:cNvPr id="131530" name="AutoShape 6"/>
            <xdr:cNvCxnSpPr>
              <a:cxnSpLocks noChangeShapeType="1"/>
            </xdr:cNvCxnSpPr>
          </xdr:nvCxnSpPr>
          <xdr:spPr bwMode="auto">
            <a:xfrm>
              <a:off x="7845" y="9345"/>
              <a:ext cx="0" cy="4620"/>
            </a:xfrm>
            <a:prstGeom prst="straightConnector1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</xdr:spPr>
        </xdr:cxnSp>
        <xdr:cxnSp macro="">
          <xdr:nvCxnSpPr>
            <xdr:cNvPr id="131531" name="AutoShape 7"/>
            <xdr:cNvCxnSpPr>
              <a:cxnSpLocks noChangeShapeType="1"/>
            </xdr:cNvCxnSpPr>
          </xdr:nvCxnSpPr>
          <xdr:spPr bwMode="auto">
            <a:xfrm>
              <a:off x="7845" y="13965"/>
              <a:ext cx="120" cy="0"/>
            </a:xfrm>
            <a:prstGeom prst="straightConnector1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</xdr:spPr>
        </xdr:cxnSp>
        <xdr:cxnSp macro="">
          <xdr:nvCxnSpPr>
            <xdr:cNvPr id="131532" name="AutoShape 8"/>
            <xdr:cNvCxnSpPr>
              <a:cxnSpLocks noChangeShapeType="1"/>
            </xdr:cNvCxnSpPr>
          </xdr:nvCxnSpPr>
          <xdr:spPr bwMode="auto">
            <a:xfrm flipV="1">
              <a:off x="7965" y="13635"/>
              <a:ext cx="1231" cy="330"/>
            </a:xfrm>
            <a:prstGeom prst="straightConnector1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</xdr:spPr>
        </xdr:cxnSp>
        <xdr:cxnSp macro="">
          <xdr:nvCxnSpPr>
            <xdr:cNvPr id="131533" name="AutoShape 9"/>
            <xdr:cNvCxnSpPr>
              <a:cxnSpLocks noChangeShapeType="1"/>
            </xdr:cNvCxnSpPr>
          </xdr:nvCxnSpPr>
          <xdr:spPr bwMode="auto">
            <a:xfrm>
              <a:off x="9196" y="9780"/>
              <a:ext cx="1" cy="3855"/>
            </a:xfrm>
            <a:prstGeom prst="straightConnector1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</xdr:spPr>
        </xdr:cxnSp>
      </xdr:grpSp>
      <xdr:cxnSp macro="">
        <xdr:nvCxnSpPr>
          <xdr:cNvPr id="131523" name="AutoShape 10"/>
          <xdr:cNvCxnSpPr>
            <a:cxnSpLocks noChangeShapeType="1"/>
          </xdr:cNvCxnSpPr>
        </xdr:nvCxnSpPr>
        <xdr:spPr bwMode="auto">
          <a:xfrm flipH="1">
            <a:off x="7396" y="11520"/>
            <a:ext cx="299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cxnSp>
      <xdr:sp macro="" textlink="">
        <xdr:nvSpPr>
          <xdr:cNvPr id="3083" name="Text Box 11"/>
          <xdr:cNvSpPr txBox="1">
            <a:spLocks noChangeArrowheads="1"/>
          </xdr:cNvSpPr>
        </xdr:nvSpPr>
        <xdr:spPr bwMode="auto">
          <a:xfrm>
            <a:off x="6286" y="11267"/>
            <a:ext cx="963" cy="50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fr-FR" altLang="zh-CN" sz="105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Face</a:t>
            </a:r>
          </a:p>
          <a:p>
            <a:pPr algn="l" rtl="0">
              <a:defRPr sz="1000"/>
            </a:pPr>
            <a:endParaRPr lang="fr-FR" altLang="zh-CN" sz="1050" b="1" i="0" u="none" strike="noStrike" baseline="0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cxnSp macro="">
        <xdr:nvCxnSpPr>
          <xdr:cNvPr id="131525" name="AutoShape 12"/>
          <xdr:cNvCxnSpPr>
            <a:cxnSpLocks noChangeShapeType="1"/>
          </xdr:cNvCxnSpPr>
        </xdr:nvCxnSpPr>
        <xdr:spPr bwMode="auto">
          <a:xfrm flipH="1">
            <a:off x="7695" y="14100"/>
            <a:ext cx="150" cy="42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cxnSp>
      <xdr:sp macro="" textlink="">
        <xdr:nvSpPr>
          <xdr:cNvPr id="3085" name="Text Box 13"/>
          <xdr:cNvSpPr txBox="1">
            <a:spLocks noChangeArrowheads="1"/>
          </xdr:cNvSpPr>
        </xdr:nvSpPr>
        <xdr:spPr bwMode="auto">
          <a:xfrm>
            <a:off x="6267" y="14558"/>
            <a:ext cx="1695" cy="69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fr-FR" altLang="zh-CN" sz="105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Chamfer</a:t>
            </a:r>
            <a:endParaRPr lang="fr-FR" altLang="zh-CN" sz="105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fr-FR" altLang="zh-CN" sz="105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cxnSp macro="">
        <xdr:nvCxnSpPr>
          <xdr:cNvPr id="131527" name="AutoShape 14"/>
          <xdr:cNvCxnSpPr>
            <a:cxnSpLocks noChangeShapeType="1"/>
          </xdr:cNvCxnSpPr>
        </xdr:nvCxnSpPr>
        <xdr:spPr bwMode="auto">
          <a:xfrm>
            <a:off x="8700" y="13875"/>
            <a:ext cx="285" cy="64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cxnSp>
      <xdr:sp macro="" textlink="">
        <xdr:nvSpPr>
          <xdr:cNvPr id="3087" name="Text Box 15"/>
          <xdr:cNvSpPr txBox="1">
            <a:spLocks noChangeArrowheads="1"/>
          </xdr:cNvSpPr>
        </xdr:nvSpPr>
        <xdr:spPr bwMode="auto">
          <a:xfrm>
            <a:off x="8674" y="14510"/>
            <a:ext cx="1348" cy="601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fr-FR" altLang="zh-CN" sz="105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Flank</a:t>
            </a:r>
            <a:endParaRPr lang="fr-FR" altLang="zh-CN" sz="105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fr-FR" altLang="zh-CN" sz="105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0</xdr:colOff>
      <xdr:row>38</xdr:row>
      <xdr:rowOff>0</xdr:rowOff>
    </xdr:from>
    <xdr:to>
      <xdr:col>6</xdr:col>
      <xdr:colOff>523874</xdr:colOff>
      <xdr:row>52</xdr:row>
      <xdr:rowOff>161925</xdr:rowOff>
    </xdr:to>
    <xdr:grpSp>
      <xdr:nvGrpSpPr>
        <xdr:cNvPr id="131493" name="Group 16"/>
        <xdr:cNvGrpSpPr>
          <a:grpSpLocks/>
        </xdr:cNvGrpSpPr>
      </xdr:nvGrpSpPr>
      <xdr:grpSpPr bwMode="auto">
        <a:xfrm>
          <a:off x="0" y="7410450"/>
          <a:ext cx="4181474" cy="2828925"/>
          <a:chOff x="826" y="9660"/>
          <a:chExt cx="5706" cy="4028"/>
        </a:xfrm>
      </xdr:grpSpPr>
      <xdr:grpSp>
        <xdr:nvGrpSpPr>
          <xdr:cNvPr id="131497" name="Group 17"/>
          <xdr:cNvGrpSpPr>
            <a:grpSpLocks/>
          </xdr:cNvGrpSpPr>
        </xdr:nvGrpSpPr>
        <xdr:grpSpPr bwMode="auto">
          <a:xfrm>
            <a:off x="2807" y="9660"/>
            <a:ext cx="2818" cy="2865"/>
            <a:chOff x="2807" y="9660"/>
            <a:chExt cx="2818" cy="2865"/>
          </a:xfrm>
        </xdr:grpSpPr>
        <xdr:grpSp>
          <xdr:nvGrpSpPr>
            <xdr:cNvPr id="131507" name="Group 18"/>
            <xdr:cNvGrpSpPr>
              <a:grpSpLocks/>
            </xdr:cNvGrpSpPr>
          </xdr:nvGrpSpPr>
          <xdr:grpSpPr bwMode="auto">
            <a:xfrm>
              <a:off x="2807" y="9660"/>
              <a:ext cx="2818" cy="2865"/>
              <a:chOff x="3375" y="10125"/>
              <a:chExt cx="5310" cy="5175"/>
            </a:xfrm>
          </xdr:grpSpPr>
          <xdr:cxnSp macro="">
            <xdr:nvCxnSpPr>
              <xdr:cNvPr id="131514" name="AutoShape 19"/>
              <xdr:cNvCxnSpPr>
                <a:cxnSpLocks noChangeShapeType="1"/>
              </xdr:cNvCxnSpPr>
            </xdr:nvCxnSpPr>
            <xdr:spPr bwMode="auto">
              <a:xfrm flipV="1">
                <a:off x="4156" y="10125"/>
                <a:ext cx="3659" cy="15"/>
              </a:xfrm>
              <a:prstGeom prst="straightConnector1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</xdr:spPr>
          </xdr:cxnSp>
          <xdr:cxnSp macro="">
            <xdr:nvCxnSpPr>
              <xdr:cNvPr id="131515" name="AutoShape 20"/>
              <xdr:cNvCxnSpPr>
                <a:cxnSpLocks noChangeShapeType="1"/>
              </xdr:cNvCxnSpPr>
            </xdr:nvCxnSpPr>
            <xdr:spPr bwMode="auto">
              <a:xfrm flipH="1">
                <a:off x="3375" y="10140"/>
                <a:ext cx="781" cy="630"/>
              </a:xfrm>
              <a:prstGeom prst="straightConnector1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</xdr:spPr>
          </xdr:cxnSp>
          <xdr:cxnSp macro="">
            <xdr:nvCxnSpPr>
              <xdr:cNvPr id="131516" name="AutoShape 21"/>
              <xdr:cNvCxnSpPr>
                <a:cxnSpLocks noChangeShapeType="1"/>
              </xdr:cNvCxnSpPr>
            </xdr:nvCxnSpPr>
            <xdr:spPr bwMode="auto">
              <a:xfrm>
                <a:off x="7815" y="10125"/>
                <a:ext cx="855" cy="750"/>
              </a:xfrm>
              <a:prstGeom prst="straightConnector1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</xdr:spPr>
          </xdr:cxnSp>
          <xdr:cxnSp macro="">
            <xdr:nvCxnSpPr>
              <xdr:cNvPr id="131517" name="AutoShape 22"/>
              <xdr:cNvCxnSpPr>
                <a:cxnSpLocks noChangeShapeType="1"/>
              </xdr:cNvCxnSpPr>
            </xdr:nvCxnSpPr>
            <xdr:spPr bwMode="auto">
              <a:xfrm>
                <a:off x="3375" y="10770"/>
                <a:ext cx="0" cy="3600"/>
              </a:xfrm>
              <a:prstGeom prst="straightConnector1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</xdr:spPr>
          </xdr:cxnSp>
          <xdr:cxnSp macro="">
            <xdr:nvCxnSpPr>
              <xdr:cNvPr id="131518" name="AutoShape 23"/>
              <xdr:cNvCxnSpPr>
                <a:cxnSpLocks noChangeShapeType="1"/>
              </xdr:cNvCxnSpPr>
            </xdr:nvCxnSpPr>
            <xdr:spPr bwMode="auto">
              <a:xfrm>
                <a:off x="8670" y="10875"/>
                <a:ext cx="15" cy="3600"/>
              </a:xfrm>
              <a:prstGeom prst="straightConnector1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</xdr:spPr>
          </xdr:cxnSp>
          <xdr:cxnSp macro="">
            <xdr:nvCxnSpPr>
              <xdr:cNvPr id="131519" name="AutoShape 24"/>
              <xdr:cNvCxnSpPr>
                <a:cxnSpLocks noChangeShapeType="1"/>
              </xdr:cNvCxnSpPr>
            </xdr:nvCxnSpPr>
            <xdr:spPr bwMode="auto">
              <a:xfrm>
                <a:off x="3375" y="14370"/>
                <a:ext cx="781" cy="930"/>
              </a:xfrm>
              <a:prstGeom prst="straightConnector1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</xdr:spPr>
          </xdr:cxnSp>
          <xdr:cxnSp macro="">
            <xdr:nvCxnSpPr>
              <xdr:cNvPr id="131520" name="AutoShape 25"/>
              <xdr:cNvCxnSpPr>
                <a:cxnSpLocks noChangeShapeType="1"/>
              </xdr:cNvCxnSpPr>
            </xdr:nvCxnSpPr>
            <xdr:spPr bwMode="auto">
              <a:xfrm>
                <a:off x="4156" y="15300"/>
                <a:ext cx="3659" cy="0"/>
              </a:xfrm>
              <a:prstGeom prst="straightConnector1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</xdr:spPr>
          </xdr:cxnSp>
          <xdr:cxnSp macro="">
            <xdr:nvCxnSpPr>
              <xdr:cNvPr id="131521" name="AutoShape 26"/>
              <xdr:cNvCxnSpPr>
                <a:cxnSpLocks noChangeShapeType="1"/>
              </xdr:cNvCxnSpPr>
            </xdr:nvCxnSpPr>
            <xdr:spPr bwMode="auto">
              <a:xfrm flipH="1">
                <a:off x="7815" y="14475"/>
                <a:ext cx="855" cy="825"/>
              </a:xfrm>
              <a:prstGeom prst="straightConnector1">
                <a:avLst/>
              </a:prstGeom>
              <a:noFill/>
              <a:ln w="19050">
                <a:solidFill>
                  <a:srgbClr val="000000"/>
                </a:solidFill>
                <a:round/>
                <a:headEnd/>
                <a:tailEnd/>
              </a:ln>
            </xdr:spPr>
          </xdr:cxnSp>
        </xdr:grpSp>
        <xdr:cxnSp macro="">
          <xdr:nvCxnSpPr>
            <xdr:cNvPr id="131508" name="AutoShape 27"/>
            <xdr:cNvCxnSpPr>
              <a:cxnSpLocks noChangeShapeType="1"/>
            </xdr:cNvCxnSpPr>
          </xdr:nvCxnSpPr>
          <xdr:spPr bwMode="auto">
            <a:xfrm>
              <a:off x="3221" y="10417"/>
              <a:ext cx="1942" cy="0"/>
            </a:xfrm>
            <a:prstGeom prst="straightConnector1">
              <a:avLst/>
            </a:prstGeom>
            <a:noFill/>
            <a:ln w="9525">
              <a:solidFill>
                <a:srgbClr val="FFC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131509" name="AutoShape 28"/>
            <xdr:cNvCxnSpPr>
              <a:cxnSpLocks noChangeShapeType="1"/>
            </xdr:cNvCxnSpPr>
          </xdr:nvCxnSpPr>
          <xdr:spPr bwMode="auto">
            <a:xfrm>
              <a:off x="3221" y="10777"/>
              <a:ext cx="1942" cy="0"/>
            </a:xfrm>
            <a:prstGeom prst="straightConnector1">
              <a:avLst/>
            </a:prstGeom>
            <a:noFill/>
            <a:ln w="9525">
              <a:solidFill>
                <a:srgbClr val="FFC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131510" name="AutoShape 29"/>
            <xdr:cNvCxnSpPr>
              <a:cxnSpLocks noChangeShapeType="1"/>
            </xdr:cNvCxnSpPr>
          </xdr:nvCxnSpPr>
          <xdr:spPr bwMode="auto">
            <a:xfrm>
              <a:off x="3221" y="11122"/>
              <a:ext cx="1942" cy="0"/>
            </a:xfrm>
            <a:prstGeom prst="straightConnector1">
              <a:avLst/>
            </a:prstGeom>
            <a:noFill/>
            <a:ln w="9525">
              <a:solidFill>
                <a:srgbClr val="FFC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131511" name="AutoShape 30"/>
            <xdr:cNvCxnSpPr>
              <a:cxnSpLocks noChangeShapeType="1"/>
            </xdr:cNvCxnSpPr>
          </xdr:nvCxnSpPr>
          <xdr:spPr bwMode="auto">
            <a:xfrm>
              <a:off x="3221" y="11542"/>
              <a:ext cx="1942" cy="0"/>
            </a:xfrm>
            <a:prstGeom prst="straightConnector1">
              <a:avLst/>
            </a:prstGeom>
            <a:noFill/>
            <a:ln w="9525">
              <a:solidFill>
                <a:srgbClr val="FFC000"/>
              </a:solidFill>
              <a:round/>
              <a:headEnd/>
              <a:tailEnd type="triangle" w="med" len="med"/>
            </a:ln>
          </xdr:spPr>
        </xdr:cxnSp>
        <xdr:sp macro="" textlink="">
          <xdr:nvSpPr>
            <xdr:cNvPr id="3103" name="Text Box 31"/>
            <xdr:cNvSpPr txBox="1">
              <a:spLocks noChangeArrowheads="1"/>
            </xdr:cNvSpPr>
          </xdr:nvSpPr>
          <xdr:spPr bwMode="auto">
            <a:xfrm>
              <a:off x="3316" y="9974"/>
              <a:ext cx="1734" cy="434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0">
                <a:defRPr sz="1000"/>
              </a:pPr>
              <a:r>
                <a:rPr lang="fr-FR" altLang="zh-CN" sz="1050" b="1" i="0" u="none" strike="noStrike" baseline="0">
                  <a:solidFill>
                    <a:srgbClr val="FFC000"/>
                  </a:solidFill>
                  <a:latin typeface="Calibri"/>
                  <a:cs typeface="Calibri"/>
                </a:rPr>
                <a:t>Drag lines</a:t>
              </a:r>
              <a:endParaRPr lang="fr-FR" altLang="zh-CN" sz="1050" b="1" i="0" u="none" strike="noStrike" baseline="0">
                <a:solidFill>
                  <a:srgbClr val="FFC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fr-FR" altLang="zh-CN" sz="1050" b="1" i="0" u="none" strike="noStrike" baseline="0">
                <a:solidFill>
                  <a:srgbClr val="FFC000"/>
                </a:solidFill>
                <a:latin typeface="Times New Roman"/>
                <a:cs typeface="Times New Roman"/>
              </a:endParaRPr>
            </a:p>
          </xdr:txBody>
        </xdr:sp>
        <xdr:cxnSp macro="">
          <xdr:nvCxnSpPr>
            <xdr:cNvPr id="131513" name="AutoShape 32"/>
            <xdr:cNvCxnSpPr>
              <a:cxnSpLocks noChangeShapeType="1"/>
            </xdr:cNvCxnSpPr>
          </xdr:nvCxnSpPr>
          <xdr:spPr bwMode="auto">
            <a:xfrm>
              <a:off x="3221" y="11902"/>
              <a:ext cx="1942" cy="0"/>
            </a:xfrm>
            <a:prstGeom prst="straightConnector1">
              <a:avLst/>
            </a:prstGeom>
            <a:noFill/>
            <a:ln w="9525">
              <a:solidFill>
                <a:srgbClr val="FFC000"/>
              </a:solidFill>
              <a:round/>
              <a:headEnd/>
              <a:tailEnd type="triangle" w="med" len="med"/>
            </a:ln>
          </xdr:spPr>
        </xdr:cxnSp>
      </xdr:grpSp>
      <xdr:grpSp>
        <xdr:nvGrpSpPr>
          <xdr:cNvPr id="131498" name="Group 33"/>
          <xdr:cNvGrpSpPr>
            <a:grpSpLocks/>
          </xdr:cNvGrpSpPr>
        </xdr:nvGrpSpPr>
        <xdr:grpSpPr bwMode="auto">
          <a:xfrm>
            <a:off x="826" y="12285"/>
            <a:ext cx="5706" cy="1403"/>
            <a:chOff x="826" y="12285"/>
            <a:chExt cx="5706" cy="1403"/>
          </a:xfrm>
        </xdr:grpSpPr>
        <xdr:cxnSp macro="">
          <xdr:nvCxnSpPr>
            <xdr:cNvPr id="131499" name="AutoShape 34"/>
            <xdr:cNvCxnSpPr>
              <a:cxnSpLocks noChangeShapeType="1"/>
            </xdr:cNvCxnSpPr>
          </xdr:nvCxnSpPr>
          <xdr:spPr bwMode="auto">
            <a:xfrm>
              <a:off x="3750" y="12525"/>
              <a:ext cx="795" cy="623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sp macro="" textlink="">
          <xdr:nvSpPr>
            <xdr:cNvPr id="3107" name="Text Box 35"/>
            <xdr:cNvSpPr txBox="1">
              <a:spLocks noChangeArrowheads="1"/>
            </xdr:cNvSpPr>
          </xdr:nvSpPr>
          <xdr:spPr bwMode="auto">
            <a:xfrm>
              <a:off x="4398" y="13149"/>
              <a:ext cx="2134" cy="53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0">
                <a:defRPr sz="1000"/>
              </a:pPr>
              <a:r>
                <a:rPr lang="fr-FR" altLang="zh-CN" sz="105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Major cutting edge</a:t>
              </a:r>
              <a:endParaRPr lang="fr-FR" altLang="zh-CN" sz="10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fr-FR" altLang="zh-CN" sz="10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cxnSp macro="">
          <xdr:nvCxnSpPr>
            <xdr:cNvPr id="131501" name="AutoShape 36"/>
            <xdr:cNvCxnSpPr>
              <a:cxnSpLocks noChangeShapeType="1"/>
            </xdr:cNvCxnSpPr>
          </xdr:nvCxnSpPr>
          <xdr:spPr bwMode="auto">
            <a:xfrm>
              <a:off x="3221" y="12525"/>
              <a:ext cx="95" cy="675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sp macro="" textlink="">
          <xdr:nvSpPr>
            <xdr:cNvPr id="3109" name="Text Box 37"/>
            <xdr:cNvSpPr txBox="1">
              <a:spLocks noChangeArrowheads="1"/>
            </xdr:cNvSpPr>
          </xdr:nvSpPr>
          <xdr:spPr bwMode="auto">
            <a:xfrm>
              <a:off x="3123" y="13194"/>
              <a:ext cx="1008" cy="44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0">
                <a:defRPr sz="1000"/>
              </a:pPr>
              <a:r>
                <a:rPr lang="fr-FR" altLang="zh-CN" sz="105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Corner</a:t>
              </a:r>
            </a:p>
            <a:p>
              <a:pPr algn="l" rtl="0">
                <a:defRPr sz="1000"/>
              </a:pPr>
              <a:endParaRPr lang="fr-FR" altLang="zh-CN" sz="1050" b="1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xnSp macro="">
          <xdr:nvCxnSpPr>
            <xdr:cNvPr id="131503" name="AutoShape 38"/>
            <xdr:cNvCxnSpPr>
              <a:cxnSpLocks noChangeShapeType="1"/>
            </xdr:cNvCxnSpPr>
          </xdr:nvCxnSpPr>
          <xdr:spPr bwMode="auto">
            <a:xfrm>
              <a:off x="3045" y="12285"/>
              <a:ext cx="176" cy="240"/>
            </a:xfrm>
            <a:prstGeom prst="straightConnector1">
              <a:avLst/>
            </a:prstGeom>
            <a:noFill/>
            <a:ln w="38100">
              <a:solidFill>
                <a:srgbClr val="C00000"/>
              </a:solidFill>
              <a:round/>
              <a:headEnd/>
              <a:tailEnd/>
            </a:ln>
          </xdr:spPr>
        </xdr:cxnSp>
        <xdr:cxnSp macro="">
          <xdr:nvCxnSpPr>
            <xdr:cNvPr id="131504" name="AutoShape 39"/>
            <xdr:cNvCxnSpPr>
              <a:cxnSpLocks noChangeShapeType="1"/>
            </xdr:cNvCxnSpPr>
          </xdr:nvCxnSpPr>
          <xdr:spPr bwMode="auto">
            <a:xfrm>
              <a:off x="3221" y="12525"/>
              <a:ext cx="926" cy="0"/>
            </a:xfrm>
            <a:prstGeom prst="straightConnector1">
              <a:avLst/>
            </a:prstGeom>
            <a:noFill/>
            <a:ln w="38100">
              <a:solidFill>
                <a:srgbClr val="C00000"/>
              </a:solidFill>
              <a:round/>
              <a:headEnd/>
              <a:tailEnd/>
            </a:ln>
          </xdr:spPr>
        </xdr:cxnSp>
        <xdr:cxnSp macro="">
          <xdr:nvCxnSpPr>
            <xdr:cNvPr id="131505" name="AutoShape 40"/>
            <xdr:cNvCxnSpPr>
              <a:cxnSpLocks noChangeShapeType="1"/>
            </xdr:cNvCxnSpPr>
          </xdr:nvCxnSpPr>
          <xdr:spPr bwMode="auto">
            <a:xfrm flipH="1">
              <a:off x="2444" y="12428"/>
              <a:ext cx="601" cy="565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sp macro="" textlink="">
          <xdr:nvSpPr>
            <xdr:cNvPr id="3113" name="Text Box 41"/>
            <xdr:cNvSpPr txBox="1">
              <a:spLocks noChangeArrowheads="1"/>
            </xdr:cNvSpPr>
          </xdr:nvSpPr>
          <xdr:spPr bwMode="auto">
            <a:xfrm>
              <a:off x="826" y="13119"/>
              <a:ext cx="2060" cy="44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0">
                <a:defRPr sz="1000"/>
              </a:pPr>
              <a:r>
                <a:rPr lang="fr-FR" altLang="zh-CN" sz="105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Minor cutting edge</a:t>
              </a:r>
              <a:endParaRPr lang="fr-FR" altLang="zh-CN" sz="10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fr-FR" altLang="zh-CN" sz="10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</xdr:grpSp>
    <xdr:clientData/>
  </xdr:twoCellAnchor>
  <xdr:twoCellAnchor>
    <xdr:from>
      <xdr:col>1</xdr:col>
      <xdr:colOff>666750</xdr:colOff>
      <xdr:row>55</xdr:row>
      <xdr:rowOff>0</xdr:rowOff>
    </xdr:from>
    <xdr:to>
      <xdr:col>6</xdr:col>
      <xdr:colOff>104775</xdr:colOff>
      <xdr:row>56</xdr:row>
      <xdr:rowOff>85725</xdr:rowOff>
    </xdr:to>
    <xdr:sp macro="" textlink="">
      <xdr:nvSpPr>
        <xdr:cNvPr id="47" name="TextBox 46"/>
        <xdr:cNvSpPr txBox="1"/>
      </xdr:nvSpPr>
      <xdr:spPr>
        <a:xfrm>
          <a:off x="1343025" y="9429750"/>
          <a:ext cx="2876550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Vertical view of insert</a:t>
          </a:r>
          <a:endParaRPr lang="zh-CN" altLang="en-US" sz="1100" b="1" baseline="0"/>
        </a:p>
      </xdr:txBody>
    </xdr:sp>
    <xdr:clientData/>
  </xdr:twoCellAnchor>
  <xdr:twoCellAnchor>
    <xdr:from>
      <xdr:col>8</xdr:col>
      <xdr:colOff>0</xdr:colOff>
      <xdr:row>55</xdr:row>
      <xdr:rowOff>0</xdr:rowOff>
    </xdr:from>
    <xdr:to>
      <xdr:col>12</xdr:col>
      <xdr:colOff>152400</xdr:colOff>
      <xdr:row>56</xdr:row>
      <xdr:rowOff>95250</xdr:rowOff>
    </xdr:to>
    <xdr:sp macro="" textlink="">
      <xdr:nvSpPr>
        <xdr:cNvPr id="48" name="TextBox 47"/>
        <xdr:cNvSpPr txBox="1"/>
      </xdr:nvSpPr>
      <xdr:spPr>
        <a:xfrm>
          <a:off x="5486400" y="9429750"/>
          <a:ext cx="2895600" cy="2667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Side view of insert</a:t>
          </a:r>
          <a:endParaRPr lang="zh-CN" altLang="en-US" sz="1100" b="1" baseline="0"/>
        </a:p>
      </xdr:txBody>
    </xdr:sp>
    <xdr:clientData/>
  </xdr:twoCellAnchor>
  <xdr:twoCellAnchor editAs="oneCell">
    <xdr:from>
      <xdr:col>8</xdr:col>
      <xdr:colOff>95250</xdr:colOff>
      <xdr:row>3</xdr:row>
      <xdr:rowOff>47625</xdr:rowOff>
    </xdr:from>
    <xdr:to>
      <xdr:col>16</xdr:col>
      <xdr:colOff>76200</xdr:colOff>
      <xdr:row>23</xdr:row>
      <xdr:rowOff>142875</xdr:rowOff>
    </xdr:to>
    <xdr:pic>
      <xdr:nvPicPr>
        <xdr:cNvPr id="13149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8046" t="32001" r="23203" b="17625"/>
        <a:stretch>
          <a:fillRect/>
        </a:stretch>
      </xdr:blipFill>
      <xdr:spPr bwMode="auto">
        <a:xfrm>
          <a:off x="5657850" y="742950"/>
          <a:ext cx="5543550" cy="35242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2</xdr:row>
      <xdr:rowOff>171449</xdr:rowOff>
    </xdr:from>
    <xdr:to>
      <xdr:col>19</xdr:col>
      <xdr:colOff>257175</xdr:colOff>
      <xdr:row>16</xdr:row>
      <xdr:rowOff>219074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495299</xdr:colOff>
      <xdr:row>38</xdr:row>
      <xdr:rowOff>66674</xdr:rowOff>
    </xdr:from>
    <xdr:to>
      <xdr:col>8</xdr:col>
      <xdr:colOff>561974</xdr:colOff>
      <xdr:row>58</xdr:row>
      <xdr:rowOff>95249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</xdr:colOff>
      <xdr:row>38</xdr:row>
      <xdr:rowOff>85725</xdr:rowOff>
    </xdr:from>
    <xdr:to>
      <xdr:col>17</xdr:col>
      <xdr:colOff>171450</xdr:colOff>
      <xdr:row>58</xdr:row>
      <xdr:rowOff>114300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0.80968</cdr:x>
      <cdr:y>0.09091</cdr:y>
    </cdr:from>
    <cdr:to>
      <cdr:x>0.95492</cdr:x>
      <cdr:y>0.23691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619626" y="314326"/>
          <a:ext cx="828674" cy="5048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b="1">
              <a:solidFill>
                <a:schemeClr val="accent3">
                  <a:lumMod val="50000"/>
                </a:schemeClr>
              </a:solidFill>
            </a:rPr>
            <a:t>standard deviation</a:t>
          </a:r>
          <a:endParaRPr lang="zh-CN" altLang="en-US" sz="1100" b="1">
            <a:solidFill>
              <a:schemeClr val="accent3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0.79299</cdr:x>
      <cdr:y>0.20386</cdr:y>
    </cdr:from>
    <cdr:to>
      <cdr:x>0.84641</cdr:x>
      <cdr:y>0.3168</cdr:y>
    </cdr:to>
    <cdr:sp macro="" textlink="">
      <cdr:nvSpPr>
        <cdr:cNvPr id="6" name="直接箭头连接符 5"/>
        <cdr:cNvSpPr/>
      </cdr:nvSpPr>
      <cdr:spPr>
        <a:xfrm xmlns:a="http://schemas.openxmlformats.org/drawingml/2006/main" flipH="1">
          <a:off x="4524376" y="704851"/>
          <a:ext cx="304800" cy="390525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accent3">
              <a:lumMod val="75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0.80968</cdr:x>
      <cdr:y>0.19835</cdr:y>
    </cdr:from>
    <cdr:to>
      <cdr:x>0.84975</cdr:x>
      <cdr:y>0.427</cdr:y>
    </cdr:to>
    <cdr:sp macro="" textlink="">
      <cdr:nvSpPr>
        <cdr:cNvPr id="8" name="直接箭头连接符 7"/>
        <cdr:cNvSpPr/>
      </cdr:nvSpPr>
      <cdr:spPr>
        <a:xfrm xmlns:a="http://schemas.openxmlformats.org/drawingml/2006/main" flipH="1">
          <a:off x="4619626" y="685801"/>
          <a:ext cx="228600" cy="790575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accent3">
              <a:lumMod val="75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0.80801</cdr:x>
      <cdr:y>0.06887</cdr:y>
    </cdr:from>
    <cdr:to>
      <cdr:x>0.95326</cdr:x>
      <cdr:y>0.21488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610100" y="238125"/>
          <a:ext cx="828674" cy="5048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zh-CN" sz="1100" b="1">
              <a:solidFill>
                <a:srgbClr val="9BBB59">
                  <a:lumMod val="50000"/>
                </a:srgbClr>
              </a:solidFill>
            </a:rPr>
            <a:t>standard deviation</a:t>
          </a:r>
          <a:endParaRPr lang="zh-CN" altLang="en-US" sz="1100" b="1">
            <a:solidFill>
              <a:srgbClr val="9BBB59">
                <a:lumMod val="50000"/>
              </a:srgbClr>
            </a:solidFill>
          </a:endParaRPr>
        </a:p>
      </cdr:txBody>
    </cdr:sp>
  </cdr:relSizeAnchor>
  <cdr:relSizeAnchor xmlns:cdr="http://schemas.openxmlformats.org/drawingml/2006/chartDrawing">
    <cdr:from>
      <cdr:x>0.78464</cdr:x>
      <cdr:y>0.2011</cdr:y>
    </cdr:from>
    <cdr:to>
      <cdr:x>0.83806</cdr:x>
      <cdr:y>0.31405</cdr:y>
    </cdr:to>
    <cdr:sp macro="" textlink="">
      <cdr:nvSpPr>
        <cdr:cNvPr id="3" name="直接箭头连接符 2"/>
        <cdr:cNvSpPr/>
      </cdr:nvSpPr>
      <cdr:spPr>
        <a:xfrm xmlns:a="http://schemas.openxmlformats.org/drawingml/2006/main" flipH="1">
          <a:off x="4476750" y="695325"/>
          <a:ext cx="304800" cy="390525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19050" cap="flat" cmpd="sng" algn="ctr">
          <a:solidFill>
            <a:srgbClr val="9BBB59">
              <a:lumMod val="75000"/>
            </a:srgbClr>
          </a:solidFill>
          <a:prstDash val="solid"/>
          <a:tailEnd type="arrow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0.80968</cdr:x>
      <cdr:y>0.20937</cdr:y>
    </cdr:from>
    <cdr:to>
      <cdr:x>0.83806</cdr:x>
      <cdr:y>0.47107</cdr:y>
    </cdr:to>
    <cdr:sp macro="" textlink="">
      <cdr:nvSpPr>
        <cdr:cNvPr id="4" name="直接箭头连接符 3"/>
        <cdr:cNvSpPr/>
      </cdr:nvSpPr>
      <cdr:spPr>
        <a:xfrm xmlns:a="http://schemas.openxmlformats.org/drawingml/2006/main" flipH="1">
          <a:off x="4619624" y="723900"/>
          <a:ext cx="161925" cy="904875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19050" cap="flat" cmpd="sng" algn="ctr">
          <a:solidFill>
            <a:srgbClr val="9BBB59">
              <a:lumMod val="75000"/>
            </a:srgbClr>
          </a:solidFill>
          <a:prstDash val="solid"/>
          <a:tailEnd type="arrow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endParaRPr lang="zh-CN"/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M2"/>
  <sheetViews>
    <sheetView workbookViewId="0">
      <selection activeCell="O40" sqref="O40"/>
    </sheetView>
  </sheetViews>
  <sheetFormatPr baseColWidth="10" defaultColWidth="9.140625" defaultRowHeight="15"/>
  <sheetData>
    <row r="1" spans="5:13" ht="27.75" thickTop="1" thickBot="1">
      <c r="E1" s="142" t="s">
        <v>127</v>
      </c>
      <c r="F1" s="142"/>
      <c r="G1" s="142"/>
      <c r="H1" s="142"/>
      <c r="I1" s="142"/>
      <c r="J1" s="142"/>
      <c r="K1" s="142"/>
      <c r="L1" s="142"/>
      <c r="M1" s="142"/>
    </row>
    <row r="2" spans="5:13" ht="15.75" thickTop="1"/>
  </sheetData>
  <mergeCells count="1">
    <mergeCell ref="E1:M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60"/>
  <sheetViews>
    <sheetView zoomScaleNormal="100" workbookViewId="0">
      <selection activeCell="H28" sqref="H28"/>
    </sheetView>
  </sheetViews>
  <sheetFormatPr baseColWidth="10" defaultColWidth="9" defaultRowHeight="15"/>
  <cols>
    <col min="1" max="1" width="17.140625" style="1" customWidth="1"/>
    <col min="2" max="2" width="16.42578125" style="1" customWidth="1"/>
    <col min="3" max="33" width="7.5703125" style="1" customWidth="1"/>
    <col min="34" max="16384" width="9" style="1"/>
  </cols>
  <sheetData>
    <row r="1" spans="1:35" ht="30" thickTop="1" thickBot="1">
      <c r="C1" s="169" t="s">
        <v>128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</row>
    <row r="2" spans="1:35" ht="15.75" thickTop="1"/>
    <row r="3" spans="1:35" s="12" customFormat="1" ht="54" customHeight="1">
      <c r="A3" s="170" t="s">
        <v>44</v>
      </c>
      <c r="B3" s="171"/>
      <c r="C3" s="167"/>
      <c r="D3" s="163"/>
      <c r="E3" s="163"/>
      <c r="F3" s="168"/>
      <c r="G3" s="167" t="s">
        <v>0</v>
      </c>
      <c r="H3" s="163"/>
      <c r="I3" s="163"/>
      <c r="J3" s="168"/>
      <c r="K3" s="167" t="s">
        <v>106</v>
      </c>
      <c r="L3" s="163"/>
      <c r="M3" s="163"/>
      <c r="N3" s="168"/>
      <c r="O3" s="167" t="s">
        <v>2</v>
      </c>
      <c r="P3" s="163"/>
      <c r="Q3" s="163"/>
      <c r="R3" s="168"/>
      <c r="S3" s="167" t="s">
        <v>3</v>
      </c>
      <c r="T3" s="168"/>
      <c r="U3" s="167" t="s">
        <v>4</v>
      </c>
      <c r="V3" s="163"/>
      <c r="W3" s="163"/>
      <c r="X3" s="168"/>
      <c r="Y3" s="167" t="s">
        <v>5</v>
      </c>
      <c r="Z3" s="163"/>
      <c r="AA3" s="163"/>
      <c r="AB3" s="168"/>
      <c r="AC3" s="163" t="s">
        <v>6</v>
      </c>
      <c r="AD3" s="163"/>
      <c r="AE3" s="163"/>
      <c r="AF3" s="163"/>
      <c r="AG3" s="161"/>
    </row>
    <row r="4" spans="1:35" s="12" customFormat="1">
      <c r="A4" s="172"/>
      <c r="B4" s="173"/>
      <c r="C4" s="8" t="s">
        <v>42</v>
      </c>
      <c r="D4" s="8" t="s">
        <v>19</v>
      </c>
      <c r="E4" s="8" t="s">
        <v>46</v>
      </c>
      <c r="F4" s="8" t="s">
        <v>43</v>
      </c>
      <c r="G4" s="104" t="s">
        <v>120</v>
      </c>
      <c r="H4" s="8" t="s">
        <v>15</v>
      </c>
      <c r="I4" s="8" t="s">
        <v>16</v>
      </c>
      <c r="J4" s="8" t="s">
        <v>17</v>
      </c>
      <c r="K4" s="92" t="s">
        <v>104</v>
      </c>
      <c r="L4" s="92" t="s">
        <v>105</v>
      </c>
      <c r="M4" s="8" t="s">
        <v>40</v>
      </c>
      <c r="N4" s="8" t="s">
        <v>41</v>
      </c>
      <c r="O4" s="8" t="s">
        <v>20</v>
      </c>
      <c r="P4" s="8" t="s">
        <v>21</v>
      </c>
      <c r="Q4" s="8" t="s">
        <v>22</v>
      </c>
      <c r="R4" s="8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56" t="s">
        <v>34</v>
      </c>
      <c r="AD4" s="2" t="s">
        <v>35</v>
      </c>
      <c r="AE4" s="2" t="s">
        <v>37</v>
      </c>
      <c r="AF4" s="6" t="s">
        <v>36</v>
      </c>
      <c r="AG4" s="162"/>
    </row>
    <row r="5" spans="1:35" s="25" customFormat="1">
      <c r="A5" s="160" t="s">
        <v>48</v>
      </c>
      <c r="B5" s="22" t="s">
        <v>8</v>
      </c>
      <c r="C5" s="44">
        <v>70.2</v>
      </c>
      <c r="D5" s="23">
        <v>59.2</v>
      </c>
      <c r="E5" s="23">
        <v>51</v>
      </c>
      <c r="F5" s="45">
        <v>21</v>
      </c>
      <c r="G5" s="44">
        <v>55.3</v>
      </c>
      <c r="H5" s="23">
        <v>54.6</v>
      </c>
      <c r="I5" s="23">
        <v>53.3</v>
      </c>
      <c r="J5" s="45">
        <v>53.39</v>
      </c>
      <c r="K5" s="44">
        <v>53.69</v>
      </c>
      <c r="L5" s="23">
        <v>59.6</v>
      </c>
      <c r="M5" s="23">
        <v>20.100000000000001</v>
      </c>
      <c r="N5" s="45">
        <v>49</v>
      </c>
      <c r="O5" s="44">
        <v>21</v>
      </c>
      <c r="P5" s="23">
        <v>19</v>
      </c>
      <c r="Q5" s="23">
        <v>18.3</v>
      </c>
      <c r="R5" s="51">
        <v>20.3</v>
      </c>
      <c r="S5" s="50">
        <v>13.5</v>
      </c>
      <c r="T5" s="51">
        <v>16.399999999999999</v>
      </c>
      <c r="U5" s="50">
        <v>11.5</v>
      </c>
      <c r="V5" s="42">
        <v>13.8</v>
      </c>
      <c r="W5" s="42">
        <v>15.891999999999999</v>
      </c>
      <c r="X5" s="51">
        <v>12.44</v>
      </c>
      <c r="Y5" s="50">
        <v>17.93</v>
      </c>
      <c r="Z5" s="42">
        <v>12.722</v>
      </c>
      <c r="AA5" s="42">
        <v>14.422000000000001</v>
      </c>
      <c r="AB5" s="51">
        <v>14.54</v>
      </c>
      <c r="AC5" s="24">
        <v>14.497999999999999</v>
      </c>
      <c r="AD5" s="24">
        <v>15.326000000000001</v>
      </c>
      <c r="AE5" s="24">
        <v>16.899999999999999</v>
      </c>
      <c r="AF5" s="24">
        <v>16.811</v>
      </c>
      <c r="AG5" s="36"/>
      <c r="AH5" s="24"/>
      <c r="AI5" s="24"/>
    </row>
    <row r="6" spans="1:35" s="32" customFormat="1">
      <c r="A6" s="160"/>
      <c r="B6" s="125" t="s">
        <v>134</v>
      </c>
      <c r="C6" s="46" t="s">
        <v>55</v>
      </c>
      <c r="D6" s="29">
        <v>37.61</v>
      </c>
      <c r="E6" s="29">
        <v>35.799999999999997</v>
      </c>
      <c r="F6" s="47">
        <v>38.04</v>
      </c>
      <c r="G6" s="55">
        <v>55.01</v>
      </c>
      <c r="H6" s="29">
        <v>52.01</v>
      </c>
      <c r="I6" s="29">
        <v>54.49</v>
      </c>
      <c r="J6" s="47">
        <v>52.03</v>
      </c>
      <c r="K6" s="55">
        <v>65.05</v>
      </c>
      <c r="L6" s="29">
        <v>66.8</v>
      </c>
      <c r="M6" s="29">
        <v>58.43</v>
      </c>
      <c r="N6" s="47">
        <v>61.13</v>
      </c>
      <c r="O6" s="55">
        <v>57.85</v>
      </c>
      <c r="P6" s="29">
        <v>60.89</v>
      </c>
      <c r="Q6" s="29">
        <v>59.66</v>
      </c>
      <c r="R6" s="47">
        <v>64.64</v>
      </c>
      <c r="S6" s="55">
        <v>42.97</v>
      </c>
      <c r="T6" s="47">
        <v>42.54</v>
      </c>
      <c r="U6" s="55">
        <v>47.94</v>
      </c>
      <c r="V6" s="29">
        <v>50.34</v>
      </c>
      <c r="W6" s="29">
        <v>46.46</v>
      </c>
      <c r="X6" s="47">
        <v>50.96</v>
      </c>
      <c r="Y6" s="55">
        <v>54.44</v>
      </c>
      <c r="Z6" s="29">
        <v>50.82</v>
      </c>
      <c r="AA6" s="29">
        <v>50.93</v>
      </c>
      <c r="AB6" s="47">
        <v>49.04</v>
      </c>
      <c r="AC6" s="30">
        <v>55.59</v>
      </c>
      <c r="AD6" s="30">
        <v>52.5</v>
      </c>
      <c r="AE6" s="30">
        <v>52.5</v>
      </c>
      <c r="AF6" s="30">
        <v>54.59</v>
      </c>
      <c r="AG6" s="31"/>
      <c r="AH6" s="37"/>
      <c r="AI6" s="37"/>
    </row>
    <row r="7" spans="1:35" s="27" customFormat="1">
      <c r="A7" s="160"/>
      <c r="B7" s="21" t="s">
        <v>71</v>
      </c>
      <c r="C7" s="48"/>
      <c r="D7" s="28">
        <v>11.28</v>
      </c>
      <c r="E7" s="28">
        <v>13.81</v>
      </c>
      <c r="F7" s="49">
        <v>10.98</v>
      </c>
      <c r="G7" s="48">
        <v>32.4</v>
      </c>
      <c r="H7" s="28">
        <v>24.492000000000001</v>
      </c>
      <c r="I7" s="28">
        <v>24.55</v>
      </c>
      <c r="J7" s="49">
        <v>23.99</v>
      </c>
      <c r="K7" s="48" t="s">
        <v>75</v>
      </c>
      <c r="L7" s="28">
        <v>27.58</v>
      </c>
      <c r="M7" s="28">
        <v>30.628</v>
      </c>
      <c r="N7" s="49">
        <v>26.798999999999999</v>
      </c>
      <c r="O7" s="48">
        <v>32.026000000000003</v>
      </c>
      <c r="P7" s="28">
        <v>46.8</v>
      </c>
      <c r="Q7" s="28">
        <v>34.1</v>
      </c>
      <c r="R7" s="28">
        <v>33.36</v>
      </c>
      <c r="S7" s="48">
        <v>28.25</v>
      </c>
      <c r="T7" s="49">
        <v>26.05</v>
      </c>
      <c r="U7" s="48" t="s">
        <v>75</v>
      </c>
      <c r="V7" s="28">
        <v>16.600000000000001</v>
      </c>
      <c r="W7" s="28">
        <v>24.93</v>
      </c>
      <c r="X7" s="49">
        <v>25.24</v>
      </c>
      <c r="Y7" s="28">
        <v>25.477</v>
      </c>
      <c r="Z7" s="28">
        <v>26.9</v>
      </c>
      <c r="AA7" s="28">
        <v>34.822000000000003</v>
      </c>
      <c r="AB7" s="49">
        <v>29.457999999999998</v>
      </c>
      <c r="AC7" s="28">
        <v>25.56</v>
      </c>
      <c r="AD7" s="28">
        <v>23.03</v>
      </c>
      <c r="AE7" s="28">
        <v>36.35</v>
      </c>
      <c r="AF7" s="28">
        <v>26.7</v>
      </c>
      <c r="AG7" s="26"/>
      <c r="AH7" s="38"/>
      <c r="AI7" s="38"/>
    </row>
    <row r="8" spans="1:35" s="25" customFormat="1">
      <c r="A8" s="160" t="s">
        <v>18</v>
      </c>
      <c r="B8" s="22" t="s">
        <v>8</v>
      </c>
      <c r="C8" s="50">
        <f>ATAN(0.440286)/PI()*180</f>
        <v>23.76322175927762</v>
      </c>
      <c r="D8" s="42">
        <f>ATAN(0.462899)/PI()*180</f>
        <v>24.839371076590865</v>
      </c>
      <c r="E8" s="42">
        <f>ATAN(0.455462)/PI()*180</f>
        <v>24.487461781309474</v>
      </c>
      <c r="F8" s="51">
        <f>ATAN(0.398716)/PI()*180</f>
        <v>21.737960919104605</v>
      </c>
      <c r="G8" s="50">
        <f>ATAN(0.411935)/PI()*180</f>
        <v>22.388477190170757</v>
      </c>
      <c r="H8" s="42">
        <f>ATAN(0.389605)/PI()*180</f>
        <v>21.286137008523308</v>
      </c>
      <c r="I8" s="42">
        <f>ATAN(0.471427)/PI()*180</f>
        <v>25.2404556001066</v>
      </c>
      <c r="J8" s="51">
        <f>ATAN(0.448786)/PI()*180</f>
        <v>24.169875324562469</v>
      </c>
      <c r="K8" s="50">
        <f>ATAN(0.453813)/PI()*180</f>
        <v>24.409164684897132</v>
      </c>
      <c r="L8" s="42">
        <f>ATAN(0.477885)/PI()*180</f>
        <v>25.542435828874734</v>
      </c>
      <c r="M8" s="42">
        <f>ATAN(0.46778)/PI()*180</f>
        <v>25.069252850224455</v>
      </c>
      <c r="N8" s="51">
        <f>ATAN(0.471772)/PI()*180</f>
        <v>25.256626203374964</v>
      </c>
      <c r="O8" s="50">
        <f>ATAN(0.453879)/PI()*180</f>
        <v>24.412300336722986</v>
      </c>
      <c r="P8" s="42">
        <f>ATAN(0.399863)/PI()*180</f>
        <v>21.79464233756169</v>
      </c>
      <c r="Q8" s="42">
        <f>ATAN(0.457808)/PI()*180</f>
        <v>24.598685741902951</v>
      </c>
      <c r="R8" s="51">
        <f>ATAN(0.465923)/PI()*180</f>
        <v>24.981894397743108</v>
      </c>
      <c r="S8" s="50">
        <f>ATAN(0.469354)/PI()*180</f>
        <v>25.143200765820019</v>
      </c>
      <c r="T8" s="51">
        <f>ATAN(0.469651)/PI()*180</f>
        <v>25.157144056520139</v>
      </c>
      <c r="U8" s="50">
        <f>ATAN(0.470128)/PI()*180</f>
        <v>25.179531157662904</v>
      </c>
      <c r="V8" s="42">
        <f>ATAN(0.463104)/PI()*180</f>
        <v>24.849043277837371</v>
      </c>
      <c r="W8" s="42">
        <f>ATAN(0.459286)/PI()*180</f>
        <v>24.668656478609613</v>
      </c>
      <c r="X8" s="51">
        <f>ATAN(0.461379)/PI()*180</f>
        <v>24.767608092528786</v>
      </c>
      <c r="Y8" s="50">
        <f>ATAN(0.420392)/PI()*180</f>
        <v>22.801495157423908</v>
      </c>
      <c r="Z8" s="42">
        <f>ATAN(0.423562)/PI()*180</f>
        <v>22.955669700802975</v>
      </c>
      <c r="AA8" s="42">
        <f>ATAN(0.443843)/PI()*180</f>
        <v>23.93370648535965</v>
      </c>
      <c r="AB8" s="51">
        <f>ATAN(0.447948)/PI()*180</f>
        <v>24.129898185057961</v>
      </c>
      <c r="AC8" s="24">
        <f>ATAN(0.435787)/PI()*180</f>
        <v>23.546946251192541</v>
      </c>
      <c r="AD8" s="24">
        <f>ATAN(0.450408)/PI()*180</f>
        <v>24.247182414414592</v>
      </c>
      <c r="AE8" s="24">
        <f>ATAN(0.433841)/PI()*180</f>
        <v>23.453176992508261</v>
      </c>
      <c r="AF8" s="24">
        <f>ATAN(0.458011)/PI()*180</f>
        <v>24.608300708304473</v>
      </c>
      <c r="AG8" s="36"/>
      <c r="AH8" s="24"/>
      <c r="AI8" s="24"/>
    </row>
    <row r="9" spans="1:35" s="32" customFormat="1">
      <c r="A9" s="160"/>
      <c r="B9" s="125" t="s">
        <v>134</v>
      </c>
      <c r="C9" s="46"/>
      <c r="D9" s="29">
        <f>180-161.21</f>
        <v>18.789999999999992</v>
      </c>
      <c r="E9" s="29">
        <f>180-161.8</f>
        <v>18.199999999999989</v>
      </c>
      <c r="F9" s="47">
        <f>180-161.14</f>
        <v>18.860000000000014</v>
      </c>
      <c r="G9" s="55">
        <f>180-161.34</f>
        <v>18.659999999999997</v>
      </c>
      <c r="H9" s="29">
        <f>180-161.18</f>
        <v>18.819999999999993</v>
      </c>
      <c r="I9" s="29">
        <f>180-161.16</f>
        <v>18.840000000000003</v>
      </c>
      <c r="J9" s="47">
        <f>180-161.19</f>
        <v>18.810000000000002</v>
      </c>
      <c r="K9" s="55">
        <f>180-160.53</f>
        <v>19.47</v>
      </c>
      <c r="L9" s="29">
        <f>180-161.2</f>
        <v>18.800000000000011</v>
      </c>
      <c r="M9" s="29">
        <f>180-161.6</f>
        <v>18.400000000000006</v>
      </c>
      <c r="N9" s="47">
        <f>180-161.12</f>
        <v>18.879999999999995</v>
      </c>
      <c r="O9" s="55">
        <f>180-161.14</f>
        <v>18.860000000000014</v>
      </c>
      <c r="P9" s="29">
        <f>180-161.17</f>
        <v>18.830000000000013</v>
      </c>
      <c r="Q9" s="29">
        <f>180-166</f>
        <v>14</v>
      </c>
      <c r="R9" s="47">
        <f>180-160.55</f>
        <v>19.449999999999989</v>
      </c>
      <c r="S9" s="55">
        <f>180-161.11</f>
        <v>18.889999999999986</v>
      </c>
      <c r="T9" s="47">
        <f>180-161.2</f>
        <v>18.800000000000011</v>
      </c>
      <c r="U9" s="55">
        <f>180-161.9</f>
        <v>18.099999999999994</v>
      </c>
      <c r="V9" s="29">
        <f>180-161.7</f>
        <v>18.300000000000011</v>
      </c>
      <c r="W9" s="29">
        <f>180-161.6</f>
        <v>18.400000000000006</v>
      </c>
      <c r="X9" s="47">
        <f>180-161.16</f>
        <v>18.840000000000003</v>
      </c>
      <c r="Y9" s="55">
        <f>180-161.7</f>
        <v>18.300000000000011</v>
      </c>
      <c r="Z9" s="29">
        <f>180-161.13</f>
        <v>18.870000000000005</v>
      </c>
      <c r="AA9" s="29">
        <f>180-161.14</f>
        <v>18.860000000000014</v>
      </c>
      <c r="AB9" s="47">
        <f>180-161.44</f>
        <v>18.560000000000002</v>
      </c>
      <c r="AC9" s="30">
        <f>180-161.11</f>
        <v>18.889999999999986</v>
      </c>
      <c r="AD9" s="30">
        <f>180-161.31</f>
        <v>18.689999999999998</v>
      </c>
      <c r="AE9" s="30">
        <f>180-161.15</f>
        <v>18.849999999999994</v>
      </c>
      <c r="AF9" s="30">
        <f>180-153.34</f>
        <v>26.659999999999997</v>
      </c>
      <c r="AG9" s="31"/>
      <c r="AH9" s="37"/>
      <c r="AI9" s="37"/>
    </row>
    <row r="10" spans="1:35" s="27" customFormat="1">
      <c r="A10" s="160"/>
      <c r="B10" s="21" t="s">
        <v>10</v>
      </c>
      <c r="C10" s="48" t="s">
        <v>55</v>
      </c>
      <c r="D10" s="28">
        <f>180-153.519</f>
        <v>26.480999999999995</v>
      </c>
      <c r="E10" s="28">
        <f>180-153.9</f>
        <v>26.099999999999994</v>
      </c>
      <c r="F10" s="49">
        <f>180-152.152</f>
        <v>27.848000000000013</v>
      </c>
      <c r="G10" s="48">
        <f>180-154.25</f>
        <v>25.75</v>
      </c>
      <c r="H10" s="28">
        <f>180-153.69</f>
        <v>26.310000000000002</v>
      </c>
      <c r="I10" s="28">
        <f>180-153.63</f>
        <v>26.370000000000005</v>
      </c>
      <c r="J10" s="28">
        <f>180-153.29</f>
        <v>26.710000000000008</v>
      </c>
      <c r="K10" s="48">
        <f>180-154.509</f>
        <v>25.491000000000014</v>
      </c>
      <c r="L10" s="28">
        <f>180-153.25</f>
        <v>26.75</v>
      </c>
      <c r="M10" s="28">
        <f>180-153.4</f>
        <v>26.599999999999994</v>
      </c>
      <c r="N10" s="49">
        <f>180-153.21</f>
        <v>26.789999999999992</v>
      </c>
      <c r="O10" s="48">
        <f>180-153.18</f>
        <v>26.819999999999993</v>
      </c>
      <c r="P10" s="28">
        <v>33.700000000000003</v>
      </c>
      <c r="Q10" s="28">
        <f>180-154.46</f>
        <v>25.539999999999992</v>
      </c>
      <c r="R10" s="49">
        <f>180-154.8</f>
        <v>25.199999999999989</v>
      </c>
      <c r="S10" s="48">
        <f>180-151.01</f>
        <v>28.990000000000009</v>
      </c>
      <c r="T10" s="49">
        <f>180-153.72</f>
        <v>26.28</v>
      </c>
      <c r="U10" s="48" t="s">
        <v>75</v>
      </c>
      <c r="V10" s="28">
        <f>180-152.715</f>
        <v>27.284999999999997</v>
      </c>
      <c r="W10" s="28">
        <f>180-154.21</f>
        <v>25.789999999999992</v>
      </c>
      <c r="X10" s="28">
        <f>180-156.58</f>
        <v>23.419999999999987</v>
      </c>
      <c r="Y10" s="48">
        <f>180-153.26</f>
        <v>26.740000000000009</v>
      </c>
      <c r="Z10" s="28">
        <f>180-154.03</f>
        <v>25.97</v>
      </c>
      <c r="AA10" s="28">
        <f>180-152.56</f>
        <v>27.439999999999998</v>
      </c>
      <c r="AB10" s="49">
        <f>180-148.97</f>
        <v>31.03</v>
      </c>
      <c r="AC10" s="28">
        <f>180-157.31</f>
        <v>22.689999999999998</v>
      </c>
      <c r="AD10" s="28">
        <f>180-153.37</f>
        <v>26.629999999999995</v>
      </c>
      <c r="AE10" s="28">
        <f>180-155.35</f>
        <v>24.650000000000006</v>
      </c>
      <c r="AF10" s="28">
        <f>180-152.127</f>
        <v>27.87299999999999</v>
      </c>
      <c r="AG10" s="26"/>
      <c r="AH10" s="38"/>
      <c r="AI10" s="38"/>
    </row>
    <row r="11" spans="1:35" s="25" customFormat="1">
      <c r="A11" s="160" t="s">
        <v>12</v>
      </c>
      <c r="B11" s="22" t="s">
        <v>8</v>
      </c>
      <c r="C11" s="50">
        <f>ATAN(1.66847)/PI()*180</f>
        <v>59.063572032435545</v>
      </c>
      <c r="D11" s="42">
        <f>ATAN(1.39978)/PI()*180</f>
        <v>54.458063294777332</v>
      </c>
      <c r="E11" s="42">
        <f>ATAN(1.47485)/PI()*180</f>
        <v>55.861353379047152</v>
      </c>
      <c r="F11" s="51">
        <f>ATAN(1.00277)/PI()*180</f>
        <v>45.07924484990879</v>
      </c>
      <c r="G11" s="50">
        <f>ATAN(0.969492)/PI()*180</f>
        <v>44.112542801481027</v>
      </c>
      <c r="H11" s="42">
        <f>ATAN(0.975811)/PI()*180</f>
        <v>44.298587579626854</v>
      </c>
      <c r="I11" s="42">
        <f>ATAN(0.953053)/PI()*180</f>
        <v>43.623003543526686</v>
      </c>
      <c r="J11" s="51">
        <f>ATAN(0.966076)/PI()*180</f>
        <v>44.011478110092085</v>
      </c>
      <c r="K11" s="50">
        <f>ATAN(0.968597)/PI()*180</f>
        <v>44.08609696603056</v>
      </c>
      <c r="L11" s="42">
        <f>ATAN(0.968597)/PI()*180</f>
        <v>44.08609696603056</v>
      </c>
      <c r="M11" s="42">
        <f>ATAN(1.80498)/PI()*180</f>
        <v>61.012549412066065</v>
      </c>
      <c r="N11" s="51">
        <f>ATAN(0.91425)/PI()*180</f>
        <v>42.435115188740703</v>
      </c>
      <c r="O11" s="50">
        <f>ATAN(1.70908)/PI()*180</f>
        <v>59.667665493050471</v>
      </c>
      <c r="P11" s="42">
        <f>ATAN(1.86778)/PI()*180</f>
        <v>61.835627872344986</v>
      </c>
      <c r="Q11" s="42">
        <f>ATAN(1.95133)/PI()*180</f>
        <v>62.866177178804008</v>
      </c>
      <c r="R11" s="51">
        <f>ATAN(1.95133)/PI()*180</f>
        <v>62.866177178804008</v>
      </c>
      <c r="S11" s="50">
        <f>ATAN(1.68582)/PI()*180</f>
        <v>59.324296573884446</v>
      </c>
      <c r="T11" s="51">
        <f>ATAN(1.81246)/PI()*180</f>
        <v>61.112883393792295</v>
      </c>
      <c r="U11" s="50">
        <f>ATAN(1.9552)/PI()*180</f>
        <v>62.912225683098235</v>
      </c>
      <c r="V11" s="42">
        <f>ATAN(1.61539)/PI()*180</f>
        <v>58.240605389012956</v>
      </c>
      <c r="W11" s="42">
        <f>ATAN(1.69205)/PI()*180</f>
        <v>59.416951515187982</v>
      </c>
      <c r="X11" s="51">
        <f>ATAN(1.7355)/PI()*180</f>
        <v>60.049332350007063</v>
      </c>
      <c r="Y11" s="50">
        <f>ATAN(1.84711)/PI()*180</f>
        <v>61.569493817252315</v>
      </c>
      <c r="Z11" s="42">
        <f>ATAN(1.85537)/PI()*180</f>
        <v>61.676395746613217</v>
      </c>
      <c r="AA11" s="42">
        <f>ATAN(2.09418)/PI()*180</f>
        <v>64.474877423835835</v>
      </c>
      <c r="AB11" s="51">
        <f>ATAN(1.71985)/PI()*180</f>
        <v>59.824308656915463</v>
      </c>
      <c r="AC11" s="24">
        <f>ATAN(1.71985)/PI()*180</f>
        <v>59.824308656915463</v>
      </c>
      <c r="AD11" s="24">
        <f>ATAN(1.39806)/PI()*180</f>
        <v>54.42473576170849</v>
      </c>
      <c r="AE11" s="24">
        <f>ATAN(1.4888)/PI()*180</f>
        <v>56.111457228512613</v>
      </c>
      <c r="AF11" s="24">
        <f>ATAN(1.5697)/PI()*180</f>
        <v>57.500238563999829</v>
      </c>
      <c r="AG11" s="36"/>
      <c r="AH11" s="24"/>
      <c r="AI11" s="24"/>
    </row>
    <row r="12" spans="1:35" s="32" customFormat="1">
      <c r="A12" s="160"/>
      <c r="B12" s="125" t="s">
        <v>134</v>
      </c>
      <c r="C12" s="46"/>
      <c r="D12" s="29">
        <v>94.13</v>
      </c>
      <c r="E12" s="29">
        <v>93.53</v>
      </c>
      <c r="F12" s="47">
        <v>93.57</v>
      </c>
      <c r="G12" s="55">
        <v>94.35</v>
      </c>
      <c r="H12" s="29">
        <v>94.32</v>
      </c>
      <c r="I12" s="29">
        <v>93.5</v>
      </c>
      <c r="J12" s="47">
        <v>94.29</v>
      </c>
      <c r="K12" s="55">
        <v>93.28</v>
      </c>
      <c r="L12" s="29">
        <v>94.56</v>
      </c>
      <c r="M12" s="29">
        <v>93.29</v>
      </c>
      <c r="N12" s="47">
        <v>93.26</v>
      </c>
      <c r="O12" s="55">
        <v>93.49</v>
      </c>
      <c r="P12" s="29">
        <v>93.57</v>
      </c>
      <c r="Q12" s="29">
        <v>98.29</v>
      </c>
      <c r="R12" s="47">
        <v>93.36</v>
      </c>
      <c r="S12" s="55">
        <v>93.46</v>
      </c>
      <c r="T12" s="47">
        <v>93.37</v>
      </c>
      <c r="U12" s="55">
        <v>93.43</v>
      </c>
      <c r="V12" s="29">
        <v>93.45</v>
      </c>
      <c r="W12" s="29">
        <v>93.4</v>
      </c>
      <c r="X12" s="47">
        <v>93.48</v>
      </c>
      <c r="Y12" s="55">
        <v>93.37</v>
      </c>
      <c r="Z12" s="29">
        <v>93.46</v>
      </c>
      <c r="AA12" s="29">
        <v>93.48</v>
      </c>
      <c r="AB12" s="47">
        <v>94.4</v>
      </c>
      <c r="AC12" s="30">
        <v>93.52</v>
      </c>
      <c r="AD12" s="30">
        <v>93.51</v>
      </c>
      <c r="AE12" s="30">
        <v>93.4</v>
      </c>
      <c r="AF12" s="30">
        <v>93.42</v>
      </c>
      <c r="AG12" s="31"/>
      <c r="AH12" s="37"/>
      <c r="AI12" s="37"/>
    </row>
    <row r="13" spans="1:35" s="27" customFormat="1">
      <c r="A13" s="160"/>
      <c r="B13" s="21" t="s">
        <v>10</v>
      </c>
      <c r="C13" s="48" t="s">
        <v>55</v>
      </c>
      <c r="D13" s="28">
        <v>93.04</v>
      </c>
      <c r="E13" s="28">
        <v>90.94</v>
      </c>
      <c r="F13" s="49">
        <v>91.47</v>
      </c>
      <c r="G13" s="48">
        <v>94.28</v>
      </c>
      <c r="H13" s="28">
        <v>89.78</v>
      </c>
      <c r="I13" s="28">
        <v>90.68</v>
      </c>
      <c r="J13" s="28">
        <v>91.13</v>
      </c>
      <c r="K13" s="48">
        <v>91.38</v>
      </c>
      <c r="L13" s="28">
        <v>92.07</v>
      </c>
      <c r="M13" s="28">
        <v>85.055999999999997</v>
      </c>
      <c r="N13" s="49">
        <v>86.78</v>
      </c>
      <c r="O13" s="48">
        <v>91.96</v>
      </c>
      <c r="P13" s="28">
        <v>72</v>
      </c>
      <c r="Q13" s="28">
        <v>91.91</v>
      </c>
      <c r="R13" s="49">
        <v>96.85</v>
      </c>
      <c r="S13" s="48">
        <v>85.83</v>
      </c>
      <c r="T13" s="49">
        <v>97.58</v>
      </c>
      <c r="U13" s="48" t="s">
        <v>75</v>
      </c>
      <c r="V13" s="28">
        <v>88.81</v>
      </c>
      <c r="W13" s="28">
        <v>93.49</v>
      </c>
      <c r="X13" s="49">
        <v>88.75</v>
      </c>
      <c r="Y13" s="48">
        <v>83.17</v>
      </c>
      <c r="Z13" s="28">
        <v>88.49</v>
      </c>
      <c r="AA13" s="28">
        <v>90.25</v>
      </c>
      <c r="AB13" s="49">
        <v>89.91</v>
      </c>
      <c r="AC13" s="28">
        <v>92.26</v>
      </c>
      <c r="AD13" s="28">
        <f>89.43</f>
        <v>89.43</v>
      </c>
      <c r="AE13" s="28">
        <v>91.6</v>
      </c>
      <c r="AF13" s="28">
        <v>89.7</v>
      </c>
      <c r="AG13" s="26"/>
      <c r="AH13" s="38"/>
      <c r="AI13" s="38"/>
    </row>
    <row r="14" spans="1:35" s="25" customFormat="1">
      <c r="A14" s="160" t="s">
        <v>7</v>
      </c>
      <c r="B14" s="22" t="s">
        <v>8</v>
      </c>
      <c r="C14" s="50">
        <f t="shared" ref="C14:AF14" si="0">180-C8-C11</f>
        <v>97.173206208286828</v>
      </c>
      <c r="D14" s="42">
        <f t="shared" si="0"/>
        <v>100.70256562863182</v>
      </c>
      <c r="E14" s="42">
        <f t="shared" si="0"/>
        <v>99.651184839643378</v>
      </c>
      <c r="F14" s="51">
        <f t="shared" si="0"/>
        <v>113.1827942309866</v>
      </c>
      <c r="G14" s="50">
        <f t="shared" si="0"/>
        <v>113.49898000834821</v>
      </c>
      <c r="H14" s="42">
        <f t="shared" si="0"/>
        <v>114.41527541184985</v>
      </c>
      <c r="I14" s="42">
        <f t="shared" si="0"/>
        <v>111.13654085636671</v>
      </c>
      <c r="J14" s="51">
        <f t="shared" si="0"/>
        <v>111.81864656534545</v>
      </c>
      <c r="K14" s="50">
        <f t="shared" si="0"/>
        <v>111.50473834907231</v>
      </c>
      <c r="L14" s="42">
        <f t="shared" si="0"/>
        <v>110.37146720509469</v>
      </c>
      <c r="M14" s="42">
        <f t="shared" si="0"/>
        <v>93.918197737709491</v>
      </c>
      <c r="N14" s="51">
        <f t="shared" si="0"/>
        <v>112.30825860788434</v>
      </c>
      <c r="O14" s="50">
        <f t="shared" si="0"/>
        <v>95.920034170226558</v>
      </c>
      <c r="P14" s="42">
        <f t="shared" si="0"/>
        <v>96.369729790093317</v>
      </c>
      <c r="Q14" s="42">
        <f t="shared" si="0"/>
        <v>92.535137079293037</v>
      </c>
      <c r="R14" s="51">
        <f t="shared" si="0"/>
        <v>92.151928423452887</v>
      </c>
      <c r="S14" s="50">
        <f t="shared" si="0"/>
        <v>95.532502660295535</v>
      </c>
      <c r="T14" s="51">
        <f t="shared" si="0"/>
        <v>93.729972549687574</v>
      </c>
      <c r="U14" s="50">
        <f t="shared" si="0"/>
        <v>91.908243159238879</v>
      </c>
      <c r="V14" s="42">
        <f t="shared" si="0"/>
        <v>96.910351333149663</v>
      </c>
      <c r="W14" s="42">
        <f t="shared" si="0"/>
        <v>95.914392006202405</v>
      </c>
      <c r="X14" s="51">
        <f t="shared" si="0"/>
        <v>95.183059557464162</v>
      </c>
      <c r="Y14" s="50">
        <f t="shared" si="0"/>
        <v>95.629011025323763</v>
      </c>
      <c r="Z14" s="42">
        <f t="shared" si="0"/>
        <v>95.36793455258379</v>
      </c>
      <c r="AA14" s="42">
        <f t="shared" si="0"/>
        <v>91.591416090804501</v>
      </c>
      <c r="AB14" s="51">
        <f t="shared" si="0"/>
        <v>96.045793158026584</v>
      </c>
      <c r="AC14" s="24">
        <f t="shared" si="0"/>
        <v>96.628745091892</v>
      </c>
      <c r="AD14" s="24">
        <f t="shared" si="0"/>
        <v>101.32808182387691</v>
      </c>
      <c r="AE14" s="24">
        <f t="shared" si="0"/>
        <v>100.43536577897913</v>
      </c>
      <c r="AF14" s="24">
        <f t="shared" si="0"/>
        <v>97.891460727695687</v>
      </c>
      <c r="AG14" s="36"/>
      <c r="AH14" s="24"/>
      <c r="AI14" s="24"/>
    </row>
    <row r="15" spans="1:35" s="32" customFormat="1">
      <c r="A15" s="160"/>
      <c r="B15" s="125" t="s">
        <v>134</v>
      </c>
      <c r="C15" s="46"/>
      <c r="D15" s="29">
        <f>180-112.52</f>
        <v>67.48</v>
      </c>
      <c r="E15" s="29">
        <f>180-112.45</f>
        <v>67.55</v>
      </c>
      <c r="F15" s="47">
        <f>180-112.43</f>
        <v>67.569999999999993</v>
      </c>
      <c r="G15" s="55">
        <f>180-113.1</f>
        <v>66.900000000000006</v>
      </c>
      <c r="H15" s="29">
        <f>180-113.13</f>
        <v>66.87</v>
      </c>
      <c r="I15" s="29">
        <f>180-112.34</f>
        <v>67.66</v>
      </c>
      <c r="J15" s="47">
        <f>180-113.1</f>
        <v>66.900000000000006</v>
      </c>
      <c r="K15" s="55">
        <f>180-112.35</f>
        <v>67.650000000000006</v>
      </c>
      <c r="L15" s="29">
        <f>180-113.36</f>
        <v>66.64</v>
      </c>
      <c r="M15" s="29">
        <f>180-112.23</f>
        <v>67.77</v>
      </c>
      <c r="N15" s="47">
        <f>180-112.13</f>
        <v>67.87</v>
      </c>
      <c r="O15" s="55">
        <f>180-112.34</f>
        <v>67.66</v>
      </c>
      <c r="P15" s="29">
        <f>180-112.39</f>
        <v>67.61</v>
      </c>
      <c r="Q15" s="29">
        <f>180-112.29</f>
        <v>67.709999999999994</v>
      </c>
      <c r="R15" s="47">
        <f>180-112.4</f>
        <v>67.599999999999994</v>
      </c>
      <c r="S15" s="55">
        <f>180-112.35</f>
        <v>67.650000000000006</v>
      </c>
      <c r="T15" s="47">
        <f>180-112.34</f>
        <v>67.66</v>
      </c>
      <c r="U15" s="55">
        <f>180-112.34</f>
        <v>67.66</v>
      </c>
      <c r="V15" s="29">
        <f>180-112.37</f>
        <v>67.63</v>
      </c>
      <c r="W15" s="29">
        <f>180-112.33</f>
        <v>67.67</v>
      </c>
      <c r="X15" s="47">
        <f>180-112.32</f>
        <v>67.680000000000007</v>
      </c>
      <c r="Y15" s="55">
        <f>180-112.29</f>
        <v>67.709999999999994</v>
      </c>
      <c r="Z15" s="29">
        <f>180-112.32</f>
        <v>67.680000000000007</v>
      </c>
      <c r="AA15" s="29">
        <f>180-112.33</f>
        <v>67.67</v>
      </c>
      <c r="AB15" s="47">
        <f>180-112.19</f>
        <v>67.81</v>
      </c>
      <c r="AC15" s="30">
        <f>180-112.4</f>
        <v>67.599999999999994</v>
      </c>
      <c r="AD15" s="30">
        <f>180-112.19</f>
        <v>67.81</v>
      </c>
      <c r="AE15" s="30">
        <f>180-112.24</f>
        <v>67.760000000000005</v>
      </c>
      <c r="AF15" s="30">
        <f>180-112.2</f>
        <v>67.8</v>
      </c>
      <c r="AG15" s="31"/>
      <c r="AH15" s="37"/>
      <c r="AI15" s="37"/>
    </row>
    <row r="16" spans="1:35" s="27" customFormat="1">
      <c r="A16" s="160"/>
      <c r="B16" s="21" t="s">
        <v>10</v>
      </c>
      <c r="C16" s="48" t="s">
        <v>55</v>
      </c>
      <c r="D16" s="28">
        <v>67.049300000000002</v>
      </c>
      <c r="E16" s="28">
        <v>64.95</v>
      </c>
      <c r="F16" s="49">
        <v>65.55</v>
      </c>
      <c r="G16" s="48">
        <v>68.319999999999993</v>
      </c>
      <c r="H16" s="28">
        <v>63.78</v>
      </c>
      <c r="I16" s="28">
        <v>64.366</v>
      </c>
      <c r="J16" s="28">
        <v>65.040000000000006</v>
      </c>
      <c r="K16" s="48">
        <v>63.3</v>
      </c>
      <c r="L16" s="28">
        <v>65.52</v>
      </c>
      <c r="M16" s="28">
        <v>58.5</v>
      </c>
      <c r="N16" s="49">
        <v>59.9</v>
      </c>
      <c r="O16" s="48">
        <v>64.88</v>
      </c>
      <c r="P16" s="28">
        <f>180-P13-P10</f>
        <v>74.3</v>
      </c>
      <c r="Q16" s="28">
        <v>64.930000000000007</v>
      </c>
      <c r="R16" s="49">
        <v>73.34</v>
      </c>
      <c r="S16" s="48">
        <v>58.72</v>
      </c>
      <c r="T16" s="49">
        <v>70.45</v>
      </c>
      <c r="U16" s="48" t="s">
        <v>75</v>
      </c>
      <c r="V16" s="28">
        <v>61.76</v>
      </c>
      <c r="W16" s="28">
        <v>67.819999999999993</v>
      </c>
      <c r="X16" s="49">
        <v>66.239999999999995</v>
      </c>
      <c r="Y16" s="48">
        <v>61.11</v>
      </c>
      <c r="Z16" s="28">
        <v>61.42</v>
      </c>
      <c r="AA16" s="28">
        <v>63.71</v>
      </c>
      <c r="AB16" s="49">
        <v>62.53</v>
      </c>
      <c r="AC16" s="28">
        <v>68.2</v>
      </c>
      <c r="AD16" s="28">
        <v>62.85</v>
      </c>
      <c r="AE16" s="28">
        <v>66.81</v>
      </c>
      <c r="AF16" s="28">
        <v>61.31</v>
      </c>
      <c r="AG16" s="26"/>
      <c r="AH16" s="38"/>
      <c r="AI16" s="38"/>
    </row>
    <row r="17" spans="1:35" s="25" customFormat="1">
      <c r="A17" s="164" t="s">
        <v>57</v>
      </c>
      <c r="B17" s="22" t="s">
        <v>8</v>
      </c>
      <c r="C17" s="52">
        <f t="shared" ref="C17:AF17" si="1">90-(C14+20)</f>
        <v>-27.173206208286828</v>
      </c>
      <c r="D17" s="43">
        <f t="shared" si="1"/>
        <v>-30.702565628631817</v>
      </c>
      <c r="E17" s="43">
        <f t="shared" si="1"/>
        <v>-29.651184839643378</v>
      </c>
      <c r="F17" s="53">
        <f t="shared" si="1"/>
        <v>-43.182794230986588</v>
      </c>
      <c r="G17" s="52">
        <f t="shared" si="1"/>
        <v>-43.498980008348212</v>
      </c>
      <c r="H17" s="43">
        <f t="shared" si="1"/>
        <v>-44.415275411849848</v>
      </c>
      <c r="I17" s="43">
        <f t="shared" si="1"/>
        <v>-41.136540856366707</v>
      </c>
      <c r="J17" s="53">
        <f t="shared" si="1"/>
        <v>-41.818646565345432</v>
      </c>
      <c r="K17" s="52">
        <f t="shared" si="1"/>
        <v>-41.504738349072312</v>
      </c>
      <c r="L17" s="43">
        <f t="shared" si="1"/>
        <v>-40.371467205094689</v>
      </c>
      <c r="M17" s="43">
        <f t="shared" si="1"/>
        <v>-23.918197737709491</v>
      </c>
      <c r="N17" s="53">
        <f t="shared" si="1"/>
        <v>-42.308258607884341</v>
      </c>
      <c r="O17" s="52">
        <f t="shared" si="1"/>
        <v>-25.920034170226558</v>
      </c>
      <c r="P17" s="43">
        <f t="shared" si="1"/>
        <v>-26.369729790093317</v>
      </c>
      <c r="Q17" s="43">
        <f t="shared" si="1"/>
        <v>-22.535137079293037</v>
      </c>
      <c r="R17" s="53">
        <f t="shared" si="1"/>
        <v>-22.151928423452887</v>
      </c>
      <c r="S17" s="52">
        <f t="shared" si="1"/>
        <v>-25.532502660295535</v>
      </c>
      <c r="T17" s="53">
        <f t="shared" si="1"/>
        <v>-23.729972549687574</v>
      </c>
      <c r="U17" s="52">
        <f t="shared" si="1"/>
        <v>-21.908243159238879</v>
      </c>
      <c r="V17" s="43">
        <f t="shared" si="1"/>
        <v>-26.910351333149663</v>
      </c>
      <c r="W17" s="43">
        <f t="shared" si="1"/>
        <v>-25.914392006202405</v>
      </c>
      <c r="X17" s="53">
        <f t="shared" si="1"/>
        <v>-25.183059557464162</v>
      </c>
      <c r="Y17" s="52">
        <f t="shared" si="1"/>
        <v>-25.629011025323763</v>
      </c>
      <c r="Z17" s="43">
        <f t="shared" si="1"/>
        <v>-25.36793455258379</v>
      </c>
      <c r="AA17" s="43">
        <f t="shared" si="1"/>
        <v>-21.591416090804501</v>
      </c>
      <c r="AB17" s="53">
        <f t="shared" si="1"/>
        <v>-26.045793158026584</v>
      </c>
      <c r="AC17" s="35">
        <f t="shared" si="1"/>
        <v>-26.628745091892</v>
      </c>
      <c r="AD17" s="35">
        <f t="shared" si="1"/>
        <v>-31.328081823876914</v>
      </c>
      <c r="AE17" s="35">
        <f t="shared" si="1"/>
        <v>-30.435365778979133</v>
      </c>
      <c r="AF17" s="35">
        <f t="shared" si="1"/>
        <v>-27.891460727695687</v>
      </c>
      <c r="AG17" s="36"/>
      <c r="AH17" s="24"/>
      <c r="AI17" s="24"/>
    </row>
    <row r="18" spans="1:35" s="32" customFormat="1">
      <c r="A18" s="165"/>
      <c r="B18" s="125" t="s">
        <v>134</v>
      </c>
      <c r="C18" s="46" t="s">
        <v>55</v>
      </c>
      <c r="D18" s="29">
        <f t="shared" ref="D18:AF19" si="2">90-(D15+20)</f>
        <v>2.519999999999996</v>
      </c>
      <c r="E18" s="29">
        <f t="shared" si="2"/>
        <v>2.4500000000000028</v>
      </c>
      <c r="F18" s="47">
        <f t="shared" si="2"/>
        <v>2.4300000000000068</v>
      </c>
      <c r="G18" s="55">
        <f t="shared" si="2"/>
        <v>3.0999999999999943</v>
      </c>
      <c r="H18" s="29">
        <f t="shared" si="2"/>
        <v>3.1299999999999955</v>
      </c>
      <c r="I18" s="29">
        <f t="shared" si="2"/>
        <v>2.3400000000000034</v>
      </c>
      <c r="J18" s="47">
        <f t="shared" si="2"/>
        <v>3.0999999999999943</v>
      </c>
      <c r="K18" s="55">
        <f t="shared" si="2"/>
        <v>2.3499999999999943</v>
      </c>
      <c r="L18" s="29">
        <f t="shared" si="2"/>
        <v>3.3599999999999994</v>
      </c>
      <c r="M18" s="29">
        <f t="shared" si="2"/>
        <v>2.230000000000004</v>
      </c>
      <c r="N18" s="47">
        <f t="shared" si="2"/>
        <v>2.1299999999999955</v>
      </c>
      <c r="O18" s="55">
        <f t="shared" si="2"/>
        <v>2.3400000000000034</v>
      </c>
      <c r="P18" s="29">
        <f t="shared" si="2"/>
        <v>2.3900000000000006</v>
      </c>
      <c r="Q18" s="29">
        <f t="shared" si="2"/>
        <v>2.2900000000000063</v>
      </c>
      <c r="R18" s="47">
        <f t="shared" si="2"/>
        <v>2.4000000000000057</v>
      </c>
      <c r="S18" s="55">
        <f t="shared" si="2"/>
        <v>2.3499999999999943</v>
      </c>
      <c r="T18" s="47">
        <f t="shared" si="2"/>
        <v>2.3400000000000034</v>
      </c>
      <c r="U18" s="55">
        <f t="shared" si="2"/>
        <v>2.3400000000000034</v>
      </c>
      <c r="V18" s="29">
        <f t="shared" si="2"/>
        <v>2.3700000000000045</v>
      </c>
      <c r="W18" s="29">
        <f t="shared" si="2"/>
        <v>2.3299999999999983</v>
      </c>
      <c r="X18" s="47">
        <f t="shared" si="2"/>
        <v>2.3199999999999932</v>
      </c>
      <c r="Y18" s="55">
        <f>90-(Y15+20)</f>
        <v>2.2900000000000063</v>
      </c>
      <c r="Z18" s="29">
        <f t="shared" si="2"/>
        <v>2.3199999999999932</v>
      </c>
      <c r="AA18" s="29">
        <f t="shared" si="2"/>
        <v>2.3299999999999983</v>
      </c>
      <c r="AB18" s="47">
        <f t="shared" si="2"/>
        <v>2.1899999999999977</v>
      </c>
      <c r="AC18" s="30">
        <f t="shared" si="2"/>
        <v>2.4000000000000057</v>
      </c>
      <c r="AD18" s="30">
        <f t="shared" si="2"/>
        <v>2.1899999999999977</v>
      </c>
      <c r="AE18" s="30">
        <f t="shared" si="2"/>
        <v>2.2399999999999949</v>
      </c>
      <c r="AF18" s="30">
        <f t="shared" si="2"/>
        <v>2.2000000000000028</v>
      </c>
      <c r="AG18" s="31"/>
      <c r="AH18" s="37"/>
      <c r="AI18" s="37"/>
    </row>
    <row r="19" spans="1:35" s="27" customFormat="1">
      <c r="A19" s="166"/>
      <c r="B19" s="21" t="s">
        <v>10</v>
      </c>
      <c r="C19" s="48" t="s">
        <v>55</v>
      </c>
      <c r="D19" s="28">
        <f t="shared" ref="D19:T19" si="3">90-(D16+20)</f>
        <v>2.9506999999999977</v>
      </c>
      <c r="E19" s="28">
        <f t="shared" si="3"/>
        <v>5.0499999999999972</v>
      </c>
      <c r="F19" s="49">
        <f t="shared" si="3"/>
        <v>4.4500000000000028</v>
      </c>
      <c r="G19" s="28">
        <f t="shared" si="3"/>
        <v>1.6800000000000068</v>
      </c>
      <c r="H19" s="28">
        <f t="shared" si="3"/>
        <v>6.2199999999999989</v>
      </c>
      <c r="I19" s="28">
        <f t="shared" si="3"/>
        <v>5.6340000000000003</v>
      </c>
      <c r="J19" s="28">
        <f t="shared" si="3"/>
        <v>4.9599999999999937</v>
      </c>
      <c r="K19" s="48">
        <f t="shared" si="3"/>
        <v>6.7000000000000028</v>
      </c>
      <c r="L19" s="28">
        <f t="shared" si="3"/>
        <v>4.480000000000004</v>
      </c>
      <c r="M19" s="28">
        <f t="shared" si="3"/>
        <v>11.5</v>
      </c>
      <c r="N19" s="28">
        <f t="shared" si="3"/>
        <v>10.099999999999994</v>
      </c>
      <c r="O19" s="28">
        <f t="shared" si="3"/>
        <v>5.1200000000000045</v>
      </c>
      <c r="P19" s="94">
        <f t="shared" si="3"/>
        <v>-4.2999999999999972</v>
      </c>
      <c r="Q19" s="28">
        <f t="shared" si="3"/>
        <v>5.0699999999999932</v>
      </c>
      <c r="R19" s="94">
        <f>90-(R16+20)</f>
        <v>-3.3400000000000034</v>
      </c>
      <c r="S19" s="48">
        <f t="shared" si="3"/>
        <v>11.280000000000001</v>
      </c>
      <c r="T19" s="94">
        <f t="shared" si="3"/>
        <v>-0.45000000000000284</v>
      </c>
      <c r="U19" s="48" t="s">
        <v>75</v>
      </c>
      <c r="V19" s="28">
        <f t="shared" si="2"/>
        <v>8.2400000000000091</v>
      </c>
      <c r="W19" s="28">
        <f>90-(W16+20)</f>
        <v>2.1800000000000068</v>
      </c>
      <c r="X19" s="28">
        <f>90-(X16+20)</f>
        <v>3.7600000000000051</v>
      </c>
      <c r="Y19" s="48">
        <f>90-(Y16+20)</f>
        <v>8.89</v>
      </c>
      <c r="Z19" s="28">
        <f t="shared" ref="Z19:AF19" si="4">90-(Z16+20)</f>
        <v>8.5799999999999983</v>
      </c>
      <c r="AA19" s="28">
        <f t="shared" si="4"/>
        <v>6.289999999999992</v>
      </c>
      <c r="AB19" s="95">
        <f t="shared" si="4"/>
        <v>7.4699999999999989</v>
      </c>
      <c r="AC19" s="94">
        <f t="shared" si="4"/>
        <v>1.7999999999999972</v>
      </c>
      <c r="AD19" s="94">
        <f t="shared" si="4"/>
        <v>7.1500000000000057</v>
      </c>
      <c r="AE19" s="94">
        <f t="shared" si="4"/>
        <v>3.1899999999999977</v>
      </c>
      <c r="AF19" s="94">
        <f t="shared" si="4"/>
        <v>8.6899999999999977</v>
      </c>
      <c r="AG19" s="26"/>
      <c r="AH19" s="38"/>
      <c r="AI19" s="38"/>
    </row>
    <row r="20" spans="1:35" s="25" customFormat="1">
      <c r="A20" s="160" t="s">
        <v>72</v>
      </c>
      <c r="B20" s="22" t="s">
        <v>8</v>
      </c>
      <c r="C20" s="50">
        <v>195</v>
      </c>
      <c r="D20" s="42">
        <v>190</v>
      </c>
      <c r="E20" s="42">
        <v>176.4</v>
      </c>
      <c r="F20" s="51">
        <v>189.9</v>
      </c>
      <c r="G20" s="50">
        <v>166.4</v>
      </c>
      <c r="H20" s="42">
        <v>186.1</v>
      </c>
      <c r="I20" s="42">
        <v>184.3</v>
      </c>
      <c r="J20" s="51">
        <v>172.2</v>
      </c>
      <c r="K20" s="50">
        <v>190.5</v>
      </c>
      <c r="L20" s="42">
        <v>174.4</v>
      </c>
      <c r="M20" s="42">
        <v>159.4</v>
      </c>
      <c r="N20" s="51">
        <v>162.4</v>
      </c>
      <c r="O20" s="50">
        <v>163.30000000000001</v>
      </c>
      <c r="P20" s="42">
        <v>170.3</v>
      </c>
      <c r="Q20" s="42">
        <v>159.4</v>
      </c>
      <c r="R20" s="51">
        <v>169.4</v>
      </c>
      <c r="S20" s="50">
        <v>179.2</v>
      </c>
      <c r="T20" s="51">
        <v>181.2</v>
      </c>
      <c r="U20" s="50">
        <v>188.9</v>
      </c>
      <c r="V20" s="42">
        <v>188.1</v>
      </c>
      <c r="W20" s="42">
        <v>173.5</v>
      </c>
      <c r="X20" s="51">
        <v>189.56</v>
      </c>
      <c r="Y20" s="50">
        <v>178.2</v>
      </c>
      <c r="Z20" s="42">
        <v>182.5</v>
      </c>
      <c r="AA20" s="42">
        <v>173.5</v>
      </c>
      <c r="AB20" s="51">
        <v>187.3</v>
      </c>
      <c r="AC20" s="24">
        <v>183.4</v>
      </c>
      <c r="AD20" s="24">
        <v>176.2</v>
      </c>
      <c r="AE20" s="24">
        <v>182.5</v>
      </c>
      <c r="AF20" s="24">
        <v>163.4</v>
      </c>
      <c r="AG20" s="36"/>
      <c r="AH20" s="24"/>
      <c r="AI20" s="24"/>
    </row>
    <row r="21" spans="1:35" s="32" customFormat="1">
      <c r="A21" s="160"/>
      <c r="B21" s="125" t="s">
        <v>134</v>
      </c>
      <c r="C21" s="46" t="s">
        <v>75</v>
      </c>
      <c r="D21" s="29">
        <v>190.22</v>
      </c>
      <c r="E21" s="29">
        <v>171.56</v>
      </c>
      <c r="F21" s="47">
        <v>189.55</v>
      </c>
      <c r="G21" s="55">
        <v>178.12</v>
      </c>
      <c r="H21" s="29">
        <v>180.3</v>
      </c>
      <c r="I21" s="29">
        <v>190.7</v>
      </c>
      <c r="J21" s="47">
        <v>181.16</v>
      </c>
      <c r="K21" s="55">
        <v>178.5</v>
      </c>
      <c r="L21" s="29">
        <v>176.19</v>
      </c>
      <c r="M21" s="29">
        <v>177.4</v>
      </c>
      <c r="N21" s="47">
        <v>180.4</v>
      </c>
      <c r="O21" s="55">
        <v>169.81</v>
      </c>
      <c r="P21" s="29">
        <v>180.75</v>
      </c>
      <c r="Q21" s="29">
        <v>170.73</v>
      </c>
      <c r="R21" s="47">
        <v>177.62</v>
      </c>
      <c r="S21" s="55">
        <v>181.59</v>
      </c>
      <c r="T21" s="47">
        <v>180.58</v>
      </c>
      <c r="U21" s="55">
        <v>187.05</v>
      </c>
      <c r="V21" s="29">
        <v>191.1</v>
      </c>
      <c r="W21" s="29">
        <v>177.61</v>
      </c>
      <c r="X21" s="47">
        <v>193.33</v>
      </c>
      <c r="Y21" s="55">
        <v>179.26</v>
      </c>
      <c r="Z21" s="29">
        <v>185.49</v>
      </c>
      <c r="AA21" s="29">
        <v>178.21</v>
      </c>
      <c r="AB21" s="47">
        <v>184.51</v>
      </c>
      <c r="AC21" s="30">
        <v>187.26</v>
      </c>
      <c r="AD21" s="30">
        <v>175.44</v>
      </c>
      <c r="AE21" s="30">
        <v>181.32</v>
      </c>
      <c r="AF21" s="30">
        <v>165.71</v>
      </c>
      <c r="AG21" s="31"/>
      <c r="AH21" s="37"/>
      <c r="AI21" s="37"/>
    </row>
    <row r="22" spans="1:35" s="27" customFormat="1">
      <c r="A22" s="160"/>
      <c r="B22" s="21" t="s">
        <v>10</v>
      </c>
      <c r="C22" s="48" t="s">
        <v>75</v>
      </c>
      <c r="D22" s="28">
        <v>183.5</v>
      </c>
      <c r="E22" s="28">
        <v>187.65</v>
      </c>
      <c r="F22" s="49">
        <v>205.19</v>
      </c>
      <c r="G22" s="48">
        <v>185.66</v>
      </c>
      <c r="H22" s="28">
        <v>200.34</v>
      </c>
      <c r="I22" s="28">
        <v>205.35</v>
      </c>
      <c r="J22" s="28">
        <v>189.1</v>
      </c>
      <c r="K22" s="48">
        <v>197.03</v>
      </c>
      <c r="L22" s="28">
        <v>195.59</v>
      </c>
      <c r="M22" s="28">
        <v>187.59</v>
      </c>
      <c r="N22" s="49">
        <v>183.07</v>
      </c>
      <c r="O22" s="48">
        <v>169.23</v>
      </c>
      <c r="P22" s="28">
        <v>174</v>
      </c>
      <c r="Q22" s="28">
        <v>169.23</v>
      </c>
      <c r="R22" s="49">
        <v>175.23</v>
      </c>
      <c r="S22" s="48">
        <v>189.77</v>
      </c>
      <c r="T22" s="49">
        <v>188.67</v>
      </c>
      <c r="U22" s="48" t="s">
        <v>75</v>
      </c>
      <c r="V22" s="28">
        <v>182.82</v>
      </c>
      <c r="W22" s="28">
        <v>185.42</v>
      </c>
      <c r="X22" s="49">
        <v>221.07</v>
      </c>
      <c r="Y22" s="48">
        <v>190.73</v>
      </c>
      <c r="Z22" s="28">
        <v>192.21</v>
      </c>
      <c r="AA22" s="28">
        <v>193.2</v>
      </c>
      <c r="AB22" s="49">
        <v>181.93</v>
      </c>
      <c r="AC22" s="28">
        <v>206.6</v>
      </c>
      <c r="AD22" s="28">
        <v>192.07</v>
      </c>
      <c r="AE22" s="28">
        <v>178.59</v>
      </c>
      <c r="AF22" s="28">
        <v>187.33</v>
      </c>
      <c r="AG22" s="26"/>
      <c r="AH22" s="38"/>
      <c r="AI22" s="38"/>
    </row>
    <row r="23" spans="1:35" s="34" customFormat="1" ht="12.75" customHeight="1">
      <c r="A23" s="158" t="s">
        <v>52</v>
      </c>
      <c r="B23" s="33" t="s">
        <v>53</v>
      </c>
      <c r="C23" s="50" t="s">
        <v>112</v>
      </c>
      <c r="D23" s="68">
        <v>0.21</v>
      </c>
      <c r="E23" s="68">
        <v>0.25</v>
      </c>
      <c r="F23" s="69">
        <v>0.14000000000000001</v>
      </c>
      <c r="G23" s="70">
        <v>0.4</v>
      </c>
      <c r="H23" s="68">
        <v>0.4</v>
      </c>
      <c r="I23" s="68">
        <v>0.4</v>
      </c>
      <c r="J23" s="69">
        <v>0.34</v>
      </c>
      <c r="K23" s="70">
        <v>0.4</v>
      </c>
      <c r="L23" s="68">
        <v>0.4</v>
      </c>
      <c r="M23" s="68">
        <v>0.5</v>
      </c>
      <c r="N23" s="69">
        <v>0.5</v>
      </c>
      <c r="O23" s="70">
        <v>0.4</v>
      </c>
      <c r="P23" s="68">
        <v>0.23</v>
      </c>
      <c r="Q23" s="68">
        <v>0.26</v>
      </c>
      <c r="R23" s="69">
        <v>0.28000000000000003</v>
      </c>
      <c r="S23" s="70">
        <v>0.28000000000000003</v>
      </c>
      <c r="T23" s="69">
        <v>0.26</v>
      </c>
      <c r="U23" s="70">
        <v>0.3</v>
      </c>
      <c r="V23" s="68">
        <v>0.33</v>
      </c>
      <c r="W23" s="68">
        <v>0.3</v>
      </c>
      <c r="X23" s="69">
        <v>0.28999999999999998</v>
      </c>
      <c r="Y23" s="70">
        <v>0.21</v>
      </c>
      <c r="Z23" s="68">
        <v>0.21</v>
      </c>
      <c r="AA23" s="68">
        <v>0.21</v>
      </c>
      <c r="AB23" s="69">
        <v>0.21</v>
      </c>
      <c r="AC23" s="61">
        <v>0.5</v>
      </c>
      <c r="AD23" s="61">
        <v>0.36</v>
      </c>
      <c r="AE23" s="61">
        <v>0.45</v>
      </c>
      <c r="AF23" s="61">
        <v>0.38</v>
      </c>
      <c r="AG23" s="71"/>
      <c r="AH23" s="24"/>
      <c r="AI23" s="24"/>
    </row>
    <row r="24" spans="1:35" s="34" customFormat="1">
      <c r="A24" s="159"/>
      <c r="B24" s="33" t="s">
        <v>54</v>
      </c>
      <c r="C24" s="54" t="s">
        <v>75</v>
      </c>
      <c r="D24" s="72">
        <v>1.37</v>
      </c>
      <c r="E24" s="72">
        <v>2.7</v>
      </c>
      <c r="F24" s="73">
        <v>1.24</v>
      </c>
      <c r="G24" s="74">
        <v>4</v>
      </c>
      <c r="H24" s="72">
        <v>3.1</v>
      </c>
      <c r="I24" s="72">
        <v>3.8</v>
      </c>
      <c r="J24" s="73">
        <v>3.45</v>
      </c>
      <c r="K24" s="74">
        <v>5</v>
      </c>
      <c r="L24" s="72">
        <v>3.5</v>
      </c>
      <c r="M24" s="72">
        <v>3.6</v>
      </c>
      <c r="N24" s="73">
        <v>3.5</v>
      </c>
      <c r="O24" s="74">
        <v>4.2</v>
      </c>
      <c r="P24" s="72">
        <v>3.1</v>
      </c>
      <c r="Q24" s="72">
        <v>2.52</v>
      </c>
      <c r="R24" s="73">
        <v>2.2400000000000002</v>
      </c>
      <c r="S24" s="74">
        <v>2.0699999999999998</v>
      </c>
      <c r="T24" s="73">
        <v>2.91</v>
      </c>
      <c r="U24" s="74">
        <v>3.02</v>
      </c>
      <c r="V24" s="72">
        <v>3.36</v>
      </c>
      <c r="W24" s="72">
        <v>2.74</v>
      </c>
      <c r="X24" s="73">
        <v>2.29</v>
      </c>
      <c r="Y24" s="74">
        <v>1.91</v>
      </c>
      <c r="Z24" s="72">
        <v>1.83</v>
      </c>
      <c r="AA24" s="72">
        <v>1.97</v>
      </c>
      <c r="AB24" s="73">
        <v>1.47</v>
      </c>
      <c r="AC24" s="72">
        <v>4</v>
      </c>
      <c r="AD24" s="72">
        <v>3.17</v>
      </c>
      <c r="AE24" s="72">
        <v>5.1100000000000003</v>
      </c>
      <c r="AF24" s="72">
        <v>4.68</v>
      </c>
      <c r="AG24" s="75"/>
      <c r="AH24" s="24"/>
      <c r="AI24" s="24"/>
    </row>
    <row r="25" spans="1:35" ht="15.75" customHeight="1">
      <c r="C25" s="11"/>
      <c r="D25" s="76"/>
      <c r="E25" s="76"/>
      <c r="F25" s="76"/>
      <c r="G25" s="76"/>
      <c r="H25" s="76"/>
      <c r="I25" s="76"/>
      <c r="J25" s="76"/>
      <c r="K25" s="77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11"/>
      <c r="AI25" s="11"/>
    </row>
    <row r="26" spans="1:35" hidden="1"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</row>
    <row r="27" spans="1:35"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</row>
    <row r="28" spans="1:35">
      <c r="D28" s="5"/>
      <c r="G28" s="5"/>
      <c r="K28" s="5"/>
      <c r="O28" s="5"/>
      <c r="S28" s="5"/>
      <c r="U28" s="5"/>
      <c r="W28" s="5"/>
      <c r="Y28" s="5"/>
      <c r="AA28" s="5"/>
      <c r="AC28" s="5"/>
    </row>
    <row r="31" spans="1:35" s="3" customFormat="1" ht="39.75" customHeight="1">
      <c r="A31" s="152" t="s">
        <v>45</v>
      </c>
      <c r="B31" s="153"/>
      <c r="C31" s="145" t="s">
        <v>59</v>
      </c>
      <c r="D31" s="146"/>
      <c r="E31" s="146"/>
      <c r="F31" s="147"/>
      <c r="G31" s="145" t="s">
        <v>49</v>
      </c>
      <c r="H31" s="146"/>
      <c r="I31" s="146"/>
      <c r="J31" s="147"/>
      <c r="K31" s="145" t="s">
        <v>1</v>
      </c>
      <c r="L31" s="146"/>
      <c r="M31" s="146"/>
      <c r="N31" s="147"/>
      <c r="O31" s="145" t="s">
        <v>2</v>
      </c>
      <c r="P31" s="146"/>
      <c r="Q31" s="146"/>
      <c r="R31" s="147"/>
      <c r="S31" s="146" t="s">
        <v>3</v>
      </c>
      <c r="T31" s="147"/>
      <c r="U31" s="145" t="s">
        <v>4</v>
      </c>
      <c r="V31" s="146"/>
      <c r="W31" s="146"/>
      <c r="X31" s="147"/>
      <c r="Y31" s="145" t="s">
        <v>5</v>
      </c>
      <c r="Z31" s="146"/>
      <c r="AA31" s="146"/>
      <c r="AB31" s="147"/>
      <c r="AC31" s="146" t="s">
        <v>109</v>
      </c>
      <c r="AD31" s="146"/>
      <c r="AE31" s="146"/>
      <c r="AF31" s="146"/>
      <c r="AG31" s="143"/>
    </row>
    <row r="32" spans="1:35" s="3" customFormat="1" ht="21" customHeight="1" thickBot="1">
      <c r="A32" s="154"/>
      <c r="B32" s="155"/>
      <c r="C32" s="4" t="s">
        <v>13</v>
      </c>
      <c r="D32" s="4" t="s">
        <v>19</v>
      </c>
      <c r="E32" s="4" t="s">
        <v>47</v>
      </c>
      <c r="F32" s="4" t="s">
        <v>11</v>
      </c>
      <c r="G32" s="4" t="s">
        <v>14</v>
      </c>
      <c r="H32" s="4" t="s">
        <v>15</v>
      </c>
      <c r="I32" s="4" t="s">
        <v>16</v>
      </c>
      <c r="J32" s="4" t="s">
        <v>17</v>
      </c>
      <c r="K32" s="4" t="s">
        <v>104</v>
      </c>
      <c r="L32" s="4" t="s">
        <v>105</v>
      </c>
      <c r="M32" s="4" t="s">
        <v>38</v>
      </c>
      <c r="N32" s="4" t="s">
        <v>39</v>
      </c>
      <c r="O32" s="4" t="s">
        <v>20</v>
      </c>
      <c r="P32" s="4" t="s">
        <v>21</v>
      </c>
      <c r="Q32" s="4" t="s">
        <v>22</v>
      </c>
      <c r="R32" s="4" t="s">
        <v>23</v>
      </c>
      <c r="S32" s="57" t="s">
        <v>24</v>
      </c>
      <c r="T32" s="4" t="s">
        <v>25</v>
      </c>
      <c r="U32" s="4" t="s">
        <v>26</v>
      </c>
      <c r="V32" s="4" t="s">
        <v>27</v>
      </c>
      <c r="W32" s="4" t="s">
        <v>28</v>
      </c>
      <c r="X32" s="4" t="s">
        <v>29</v>
      </c>
      <c r="Y32" s="4" t="s">
        <v>30</v>
      </c>
      <c r="Z32" s="4" t="s">
        <v>31</v>
      </c>
      <c r="AA32" s="4" t="s">
        <v>32</v>
      </c>
      <c r="AB32" s="4" t="s">
        <v>33</v>
      </c>
      <c r="AC32" s="57" t="s">
        <v>34</v>
      </c>
      <c r="AD32" s="4" t="s">
        <v>35</v>
      </c>
      <c r="AE32" s="4" t="s">
        <v>37</v>
      </c>
      <c r="AF32" s="7" t="s">
        <v>36</v>
      </c>
      <c r="AG32" s="144"/>
    </row>
    <row r="33" spans="1:35" s="25" customFormat="1">
      <c r="A33" s="148" t="s">
        <v>48</v>
      </c>
      <c r="B33" s="58" t="s">
        <v>8</v>
      </c>
      <c r="C33" s="44" t="s">
        <v>75</v>
      </c>
      <c r="D33" s="23">
        <v>52.33</v>
      </c>
      <c r="E33" s="23">
        <v>18.399999999999999</v>
      </c>
      <c r="F33" s="45">
        <v>17.8</v>
      </c>
      <c r="G33" s="44">
        <v>18.385000000000002</v>
      </c>
      <c r="H33" s="23">
        <v>22.84</v>
      </c>
      <c r="I33" s="23">
        <v>23</v>
      </c>
      <c r="J33" s="45">
        <v>17.87</v>
      </c>
      <c r="K33" s="44">
        <v>16.7</v>
      </c>
      <c r="L33" s="23">
        <v>18.399999999999999</v>
      </c>
      <c r="M33" s="23">
        <v>22.34</v>
      </c>
      <c r="N33" s="45">
        <v>15.33</v>
      </c>
      <c r="O33" s="44">
        <v>18.649999999999999</v>
      </c>
      <c r="P33" s="23">
        <v>17.45</v>
      </c>
      <c r="Q33" s="23">
        <v>17.350000000000001</v>
      </c>
      <c r="R33" s="51">
        <v>18.559999999999999</v>
      </c>
      <c r="S33" s="42">
        <v>63.12</v>
      </c>
      <c r="T33" s="51">
        <v>73.45</v>
      </c>
      <c r="U33" s="50">
        <v>15.28</v>
      </c>
      <c r="V33" s="42">
        <v>14.87</v>
      </c>
      <c r="W33" s="42">
        <v>20.7</v>
      </c>
      <c r="X33" s="51">
        <v>16.73</v>
      </c>
      <c r="Y33" s="50">
        <v>16.23</v>
      </c>
      <c r="Z33" s="42">
        <v>18.45</v>
      </c>
      <c r="AA33" s="42">
        <v>14.35</v>
      </c>
      <c r="AB33" s="51">
        <v>15.67</v>
      </c>
      <c r="AC33" s="24">
        <v>13.75</v>
      </c>
      <c r="AD33" s="24">
        <v>22.45</v>
      </c>
      <c r="AE33" s="24">
        <v>20.77</v>
      </c>
      <c r="AF33" s="24">
        <v>23.97</v>
      </c>
      <c r="AG33" s="36"/>
      <c r="AH33" s="24"/>
      <c r="AI33" s="24"/>
    </row>
    <row r="34" spans="1:35" s="32" customFormat="1">
      <c r="A34" s="148"/>
      <c r="B34" s="125" t="s">
        <v>134</v>
      </c>
      <c r="C34" s="46" t="s">
        <v>55</v>
      </c>
      <c r="D34" s="29">
        <v>34.630000000000003</v>
      </c>
      <c r="E34" s="29">
        <v>39.15</v>
      </c>
      <c r="F34" s="47">
        <v>38.5</v>
      </c>
      <c r="G34" s="55">
        <v>55.4</v>
      </c>
      <c r="H34" s="29">
        <v>56.11</v>
      </c>
      <c r="I34" s="29">
        <v>54.86</v>
      </c>
      <c r="J34" s="47">
        <v>54.11</v>
      </c>
      <c r="K34" s="55">
        <v>52.3</v>
      </c>
      <c r="L34" s="29">
        <v>55.5</v>
      </c>
      <c r="M34" s="29">
        <v>52.77</v>
      </c>
      <c r="N34" s="47">
        <v>46.44</v>
      </c>
      <c r="O34" s="55">
        <v>55.13</v>
      </c>
      <c r="P34" s="29">
        <v>53.51</v>
      </c>
      <c r="Q34" s="29">
        <v>56.1</v>
      </c>
      <c r="R34" s="47">
        <v>59.38</v>
      </c>
      <c r="S34" s="29">
        <v>45.61</v>
      </c>
      <c r="T34" s="47">
        <v>43.67</v>
      </c>
      <c r="U34" s="55">
        <v>48.92</v>
      </c>
      <c r="V34" s="29">
        <v>48.28</v>
      </c>
      <c r="W34" s="29">
        <v>48.23</v>
      </c>
      <c r="X34" s="47">
        <v>51.06</v>
      </c>
      <c r="Y34" s="55">
        <v>49.2</v>
      </c>
      <c r="Z34" s="29">
        <v>52.51</v>
      </c>
      <c r="AA34" s="29">
        <v>50.04</v>
      </c>
      <c r="AB34" s="47">
        <v>49.78</v>
      </c>
      <c r="AC34" s="30">
        <v>53.79</v>
      </c>
      <c r="AD34" s="30">
        <v>53.24</v>
      </c>
      <c r="AE34" s="30">
        <v>52.31</v>
      </c>
      <c r="AF34" s="30">
        <v>50.73</v>
      </c>
      <c r="AG34" s="31"/>
      <c r="AH34" s="37"/>
      <c r="AI34" s="37"/>
    </row>
    <row r="35" spans="1:35" s="27" customFormat="1">
      <c r="A35" s="148"/>
      <c r="B35" s="21" t="s">
        <v>10</v>
      </c>
      <c r="C35" s="48" t="s">
        <v>58</v>
      </c>
      <c r="D35" s="28">
        <v>11.5</v>
      </c>
      <c r="E35" s="28">
        <v>21.77</v>
      </c>
      <c r="F35" s="49">
        <v>11.16</v>
      </c>
      <c r="G35" s="48">
        <v>28.4</v>
      </c>
      <c r="H35" s="28">
        <v>27.3</v>
      </c>
      <c r="I35" s="28">
        <v>30.85</v>
      </c>
      <c r="J35" s="49">
        <v>26.88</v>
      </c>
      <c r="K35" s="48">
        <v>37.164999999999999</v>
      </c>
      <c r="L35" s="28">
        <v>29.773</v>
      </c>
      <c r="M35" s="28">
        <v>34.21</v>
      </c>
      <c r="N35" s="28">
        <v>35.94</v>
      </c>
      <c r="O35" s="48">
        <v>27.776</v>
      </c>
      <c r="P35" s="28">
        <v>35.58</v>
      </c>
      <c r="Q35" s="28">
        <v>47.96</v>
      </c>
      <c r="R35" s="49">
        <v>35.97</v>
      </c>
      <c r="S35" s="28">
        <v>21.97</v>
      </c>
      <c r="T35" s="49">
        <v>19.38</v>
      </c>
      <c r="U35" s="48">
        <v>25.18</v>
      </c>
      <c r="V35" s="28">
        <v>22.85</v>
      </c>
      <c r="W35" s="28">
        <v>26.399000000000001</v>
      </c>
      <c r="X35" s="49">
        <v>20.3</v>
      </c>
      <c r="Y35" s="48">
        <v>27.53</v>
      </c>
      <c r="Z35" s="28">
        <v>34.015000000000001</v>
      </c>
      <c r="AA35" s="28">
        <v>30.209</v>
      </c>
      <c r="AB35" s="49">
        <v>31.338999999999999</v>
      </c>
      <c r="AC35" s="28">
        <v>36.46</v>
      </c>
      <c r="AD35" s="28">
        <v>37.299999999999997</v>
      </c>
      <c r="AE35" s="28">
        <v>24.228000000000002</v>
      </c>
      <c r="AF35" s="28">
        <v>24.92</v>
      </c>
      <c r="AG35" s="26"/>
      <c r="AH35" s="38"/>
      <c r="AI35" s="38"/>
    </row>
    <row r="36" spans="1:35" s="25" customFormat="1">
      <c r="A36" s="148" t="s">
        <v>18</v>
      </c>
      <c r="B36" s="22" t="s">
        <v>8</v>
      </c>
      <c r="C36" s="65">
        <f>ATAN(0.468515)/PI()*180</f>
        <v>25.103794932967528</v>
      </c>
      <c r="D36" s="66">
        <f>ATAN(0.455183)/PI()*180</f>
        <v>24.474221264071339</v>
      </c>
      <c r="E36" s="66">
        <f>ATAN(0.387178)/PI()*180</f>
        <v>21.165307121494735</v>
      </c>
      <c r="F36" s="67">
        <f>ATAN(0.411765)/PI()*180</f>
        <v>22.380149460660032</v>
      </c>
      <c r="G36" s="65">
        <f>ATAN(0.404301)/PI()*180</f>
        <v>22.013532835289968</v>
      </c>
      <c r="H36" s="66">
        <f>ATAN(0.409454)/PI()*180</f>
        <v>22.266842506329514</v>
      </c>
      <c r="I36" s="66">
        <f>ATAN(0.390499)/PI()*180</f>
        <v>21.330595494879741</v>
      </c>
      <c r="J36" s="67">
        <f>ATAN(0.375007)/PI()*180</f>
        <v>20.556396842188246</v>
      </c>
      <c r="K36" s="65">
        <f>ATAN(0.402245)/PI()*180</f>
        <v>21.912210663250814</v>
      </c>
      <c r="L36" s="66">
        <f>ATAN(0.373366)/PI()*180</f>
        <v>20.473922207648656</v>
      </c>
      <c r="M36" s="66">
        <f>ATAN(0.382713)/PI()*180</f>
        <v>20.942498154637615</v>
      </c>
      <c r="N36" s="67">
        <f>ATAN(0.369916)/PI()*180</f>
        <v>20.300240288335772</v>
      </c>
      <c r="O36" s="65">
        <f>ATAN(0.429284)/PI()*180</f>
        <v>23.233073672095649</v>
      </c>
      <c r="P36" s="66">
        <f>ATAN(0.389192)/PI()*180</f>
        <v>21.265589495596338</v>
      </c>
      <c r="Q36" s="66">
        <f>ATAN(0.441491)/PI()*180</f>
        <v>23.821026861142432</v>
      </c>
      <c r="R36" s="67">
        <f>ATAN(0.47116)/PI()*180</f>
        <v>25.227938004769573</v>
      </c>
      <c r="S36" s="66">
        <f>ATAN(0.462934)/PI()*180</f>
        <v>24.841022535055146</v>
      </c>
      <c r="T36" s="51">
        <f>ATAN(0.43)/PI()*180</f>
        <v>23.267704810056951</v>
      </c>
      <c r="U36" s="50">
        <f>ATAN(0.396943)/PI()*180</f>
        <v>21.650256364220276</v>
      </c>
      <c r="V36" s="42">
        <f>ATAN(0.406)/PI()*180</f>
        <v>22.097152452634447</v>
      </c>
      <c r="W36" s="42">
        <f>ATAN(0.38)/PI()*180</f>
        <v>20.806791012711226</v>
      </c>
      <c r="X36" s="51">
        <f>ATAN(0.385)/PI()*180</f>
        <v>21.05670559070478</v>
      </c>
      <c r="Y36" s="50">
        <f>ATAN(0.3713)/PI()*180</f>
        <v>20.369961423340225</v>
      </c>
      <c r="Z36" s="42">
        <f>ATAN(0.400268)/PI()*180</f>
        <v>21.814645563704275</v>
      </c>
      <c r="AA36" s="42">
        <f>ATAN(0.43967)/PI()*180</f>
        <v>23.733651742259497</v>
      </c>
      <c r="AB36" s="67">
        <f>ATAN(0.458714)/PI()*180</f>
        <v>24.641586436495157</v>
      </c>
      <c r="AC36" s="24">
        <f>ATAN(0.476679)/PI()*180</f>
        <v>25.486157269793722</v>
      </c>
      <c r="AD36" s="24">
        <f>ATAN(0.492668)/PI()*180</f>
        <v>26.227992403661734</v>
      </c>
      <c r="AE36" s="24">
        <f>ATAN(0.398079)/PI()*180</f>
        <v>21.706462892681266</v>
      </c>
      <c r="AF36" s="24">
        <f>ATAN(0.411245)/PI()*180</f>
        <v>22.3546702179063</v>
      </c>
      <c r="AG36" s="36"/>
      <c r="AH36" s="24"/>
      <c r="AI36" s="24"/>
    </row>
    <row r="37" spans="1:35" s="32" customFormat="1">
      <c r="A37" s="148"/>
      <c r="B37" s="125" t="s">
        <v>134</v>
      </c>
      <c r="C37" s="46" t="s">
        <v>58</v>
      </c>
      <c r="D37" s="29">
        <f>180-161.55</f>
        <v>18.449999999999989</v>
      </c>
      <c r="E37" s="29">
        <f>180-161.8</f>
        <v>18.199999999999989</v>
      </c>
      <c r="F37" s="47">
        <f>180-163.16</f>
        <v>16.840000000000003</v>
      </c>
      <c r="G37" s="55">
        <f>180-163.4</f>
        <v>16.599999999999994</v>
      </c>
      <c r="H37" s="29">
        <f>180-163.28</f>
        <v>16.72</v>
      </c>
      <c r="I37" s="29">
        <f>180-163.12</f>
        <v>16.879999999999995</v>
      </c>
      <c r="J37" s="47">
        <f>180-161.51</f>
        <v>18.490000000000009</v>
      </c>
      <c r="K37" s="55">
        <f>180-163.11</f>
        <v>16.889999999999986</v>
      </c>
      <c r="L37" s="29">
        <f>180-163.53</f>
        <v>16.47</v>
      </c>
      <c r="M37" s="29">
        <f>180-162.1</f>
        <v>17.900000000000006</v>
      </c>
      <c r="N37" s="47">
        <f>180-161.2</f>
        <v>18.800000000000011</v>
      </c>
      <c r="O37" s="55">
        <f>180-160.52</f>
        <v>19.47999999999999</v>
      </c>
      <c r="P37" s="29">
        <f>180-162.3</f>
        <v>17.699999999999989</v>
      </c>
      <c r="Q37" s="29">
        <f>180-161.52</f>
        <v>18.47999999999999</v>
      </c>
      <c r="R37" s="47">
        <f>180-163.33</f>
        <v>16.669999999999987</v>
      </c>
      <c r="S37" s="29">
        <f>180-161</f>
        <v>19</v>
      </c>
      <c r="T37" s="47">
        <f>180-161.07</f>
        <v>18.930000000000007</v>
      </c>
      <c r="U37" s="55">
        <f>180-161.38</f>
        <v>18.620000000000005</v>
      </c>
      <c r="V37" s="29">
        <f>180-160.49</f>
        <v>19.509999999999991</v>
      </c>
      <c r="W37" s="29">
        <f>180-161.47</f>
        <v>18.53</v>
      </c>
      <c r="X37" s="47">
        <f>180-164.25</f>
        <v>15.75</v>
      </c>
      <c r="Y37" s="55">
        <f>180-161.39</f>
        <v>18.610000000000014</v>
      </c>
      <c r="Z37" s="29">
        <f>180-161.19</f>
        <v>18.810000000000002</v>
      </c>
      <c r="AA37" s="29">
        <f>180-162.25</f>
        <v>17.75</v>
      </c>
      <c r="AB37" s="47">
        <f>180-161.41</f>
        <v>18.590000000000003</v>
      </c>
      <c r="AC37" s="30">
        <f>180-162.7</f>
        <v>17.300000000000011</v>
      </c>
      <c r="AD37" s="30">
        <f>180-160.3</f>
        <v>19.699999999999989</v>
      </c>
      <c r="AE37" s="30">
        <f>180-161.12</f>
        <v>18.879999999999995</v>
      </c>
      <c r="AF37" s="30">
        <f>180-161.9</f>
        <v>18.099999999999994</v>
      </c>
      <c r="AG37" s="31"/>
      <c r="AH37" s="37"/>
      <c r="AI37" s="37"/>
    </row>
    <row r="38" spans="1:35" s="27" customFormat="1">
      <c r="A38" s="148"/>
      <c r="B38" s="21" t="s">
        <v>10</v>
      </c>
      <c r="C38" s="48" t="s">
        <v>55</v>
      </c>
      <c r="D38" s="28">
        <f>180-155.7</f>
        <v>24.300000000000011</v>
      </c>
      <c r="E38" s="28">
        <f>180-154.32</f>
        <v>25.680000000000007</v>
      </c>
      <c r="F38" s="49">
        <f>180-157.73</f>
        <v>22.27000000000001</v>
      </c>
      <c r="G38" s="28">
        <f>180-155.48</f>
        <v>24.52000000000001</v>
      </c>
      <c r="H38" s="28">
        <f>180-152.499</f>
        <v>27.501000000000005</v>
      </c>
      <c r="I38" s="28">
        <f>180-152.103</f>
        <v>27.896999999999991</v>
      </c>
      <c r="J38" s="28">
        <f>180-153.32</f>
        <v>26.680000000000007</v>
      </c>
      <c r="K38" s="48">
        <f>180-158.026</f>
        <v>21.97399999999999</v>
      </c>
      <c r="L38" s="28">
        <f>180-156.55</f>
        <v>23.449999999999989</v>
      </c>
      <c r="M38" s="28">
        <f>180-158.96</f>
        <v>21.039999999999992</v>
      </c>
      <c r="N38" s="49">
        <f>180-156.85</f>
        <v>23.150000000000006</v>
      </c>
      <c r="O38" s="48">
        <f>180-154.5</f>
        <v>25.5</v>
      </c>
      <c r="P38" s="28">
        <f>180-150.1</f>
        <v>29.900000000000006</v>
      </c>
      <c r="Q38" s="28">
        <f>180-153.06</f>
        <v>26.939999999999998</v>
      </c>
      <c r="R38" s="49">
        <f>180-154.44</f>
        <v>25.560000000000002</v>
      </c>
      <c r="S38" s="28">
        <f>180-154.04</f>
        <v>25.960000000000008</v>
      </c>
      <c r="T38" s="49">
        <f>180-151.2</f>
        <v>28.800000000000011</v>
      </c>
      <c r="U38" s="48">
        <f>180-152.299</f>
        <v>27.700999999999993</v>
      </c>
      <c r="V38" s="28">
        <f>180-152.504</f>
        <v>27.496000000000009</v>
      </c>
      <c r="W38" s="28">
        <f>180-154.211</f>
        <v>25.788999999999987</v>
      </c>
      <c r="X38" s="28">
        <f>180-156.14</f>
        <v>23.860000000000014</v>
      </c>
      <c r="Y38" s="48">
        <f>180-154.1</f>
        <v>25.900000000000006</v>
      </c>
      <c r="Z38" s="28">
        <f>180-152.32</f>
        <v>27.680000000000007</v>
      </c>
      <c r="AA38" s="28">
        <f>180-152.821</f>
        <v>27.179000000000002</v>
      </c>
      <c r="AB38" s="49">
        <f>180-145.59</f>
        <v>34.409999999999997</v>
      </c>
      <c r="AC38" s="28">
        <f>180-154.272</f>
        <v>25.728000000000009</v>
      </c>
      <c r="AD38" s="28">
        <f>180-154.2</f>
        <v>25.800000000000011</v>
      </c>
      <c r="AE38" s="28">
        <f>180-152.83</f>
        <v>27.169999999999987</v>
      </c>
      <c r="AF38" s="28">
        <f>180-154.299</f>
        <v>25.700999999999993</v>
      </c>
      <c r="AG38" s="26"/>
      <c r="AH38" s="38"/>
      <c r="AI38" s="38"/>
    </row>
    <row r="39" spans="1:35" s="25" customFormat="1">
      <c r="A39" s="148" t="s">
        <v>12</v>
      </c>
      <c r="B39" s="22" t="s">
        <v>8</v>
      </c>
      <c r="C39" s="50">
        <f>ATAN(1.71)/PI()*180</f>
        <v>59.681103799242663</v>
      </c>
      <c r="D39" s="42">
        <f>ATAN(0.907676)/PI()*180</f>
        <v>42.229271912214934</v>
      </c>
      <c r="E39" s="42">
        <f>ATAN(1.39)/PI()*180</f>
        <v>54.26783626282112</v>
      </c>
      <c r="F39" s="51">
        <f>ATAN(1.62)/PI()*180</f>
        <v>58.313632312143397</v>
      </c>
      <c r="G39" s="50">
        <f>ATAN(1.68334)/PI()*180</f>
        <v>59.287271922163299</v>
      </c>
      <c r="H39" s="42">
        <f>ATAN(1.39768)/PI()*180</f>
        <v>54.417365383377856</v>
      </c>
      <c r="I39" s="42">
        <f>ATAN(1.79869)/PI()*180</f>
        <v>60.92768381746437</v>
      </c>
      <c r="J39" s="51">
        <f>ATAN(1.49686)/PI()*180</f>
        <v>56.254495612744421</v>
      </c>
      <c r="K39" s="50">
        <f>ATAN(1.55142)/PI()*180</f>
        <v>57.195354580747939</v>
      </c>
      <c r="L39" s="42">
        <f>ATAN(1.42841)/PI()*180</f>
        <v>55.004937895474498</v>
      </c>
      <c r="M39" s="42">
        <f>ATAN(1.50191)/PI()*180</f>
        <v>56.343575101763214</v>
      </c>
      <c r="N39" s="51">
        <f>ATAN(1.65244)/PI()*180</f>
        <v>58.819112519871005</v>
      </c>
      <c r="O39" s="50">
        <f>ATAN(1.63485)/PI()*180</f>
        <v>58.546837096325604</v>
      </c>
      <c r="P39" s="42">
        <f>ATAN(1.56342)/PI()*180</f>
        <v>57.396067561448397</v>
      </c>
      <c r="Q39" s="42">
        <f>ATAN(1.55587)/PI()*180</f>
        <v>57.270041290344608</v>
      </c>
      <c r="R39" s="51">
        <f>ATAN(0.830007)/PI()*180</f>
        <v>39.692910624217802</v>
      </c>
      <c r="S39" s="42">
        <f>ATAN(0.707075)/PI()*180</f>
        <v>35.263175712662658</v>
      </c>
      <c r="T39" s="51">
        <f>ATAN(1.77497)/PI()*180</f>
        <v>60.603533015753875</v>
      </c>
      <c r="U39" s="50">
        <f>ATAN(1.77497)/PI()*180</f>
        <v>60.603533015753875</v>
      </c>
      <c r="V39" s="42">
        <f>ATAN(1.45781)/PI()*180</f>
        <v>55.551418544431932</v>
      </c>
      <c r="W39" s="42">
        <f>ATAN(1.45781)/PI()*180</f>
        <v>55.551418544431932</v>
      </c>
      <c r="X39" s="51">
        <f>ATAN(1.4446)/PI()*180</f>
        <v>55.307733965841273</v>
      </c>
      <c r="Y39" s="50">
        <f>ATAN(1.4446)/PI()*180</f>
        <v>55.307733965841273</v>
      </c>
      <c r="Z39" s="42">
        <f>ATAN(1.63688)/PI()*180</f>
        <v>58.578477122219979</v>
      </c>
      <c r="AA39" s="42">
        <f>ATAN(1.80936)/PI()*180</f>
        <v>61.071378231503743</v>
      </c>
      <c r="AB39" s="51">
        <f>ATAN(1.60268)/PI()*180</f>
        <v>58.037697670946947</v>
      </c>
      <c r="AC39" s="24">
        <f>ATAN(1.61573)/PI()*180</f>
        <v>58.246001616450101</v>
      </c>
      <c r="AD39" s="24">
        <f>ATAN(1.48794)/PI()*180</f>
        <v>56.096131998832526</v>
      </c>
      <c r="AE39" s="24">
        <f>ATAN(1.57104)/PI()*180</f>
        <v>57.522389452259674</v>
      </c>
      <c r="AF39" s="24">
        <f>ATAN(1.42817)/PI()*180</f>
        <v>55.000414562785771</v>
      </c>
      <c r="AG39" s="36"/>
      <c r="AH39" s="24"/>
      <c r="AI39" s="24"/>
    </row>
    <row r="40" spans="1:35" s="32" customFormat="1">
      <c r="A40" s="148"/>
      <c r="B40" s="125" t="s">
        <v>134</v>
      </c>
      <c r="C40" s="46" t="s">
        <v>58</v>
      </c>
      <c r="D40" s="29">
        <v>86.48</v>
      </c>
      <c r="E40" s="29">
        <v>86.14</v>
      </c>
      <c r="F40" s="47">
        <v>88.46</v>
      </c>
      <c r="G40" s="55">
        <v>89.8</v>
      </c>
      <c r="H40" s="29">
        <v>86.4</v>
      </c>
      <c r="I40" s="29">
        <v>88.42</v>
      </c>
      <c r="J40" s="47">
        <v>86.34</v>
      </c>
      <c r="K40" s="55">
        <v>88.47</v>
      </c>
      <c r="L40" s="29">
        <v>89</v>
      </c>
      <c r="M40" s="29">
        <v>87.15</v>
      </c>
      <c r="N40" s="47">
        <v>86.7</v>
      </c>
      <c r="O40" s="55">
        <v>85.52</v>
      </c>
      <c r="P40" s="29">
        <v>87.15</v>
      </c>
      <c r="Q40" s="29">
        <v>87.14</v>
      </c>
      <c r="R40" s="47">
        <v>88.44</v>
      </c>
      <c r="S40" s="29">
        <f>86.2</f>
        <v>86.2</v>
      </c>
      <c r="T40" s="47">
        <v>89.59</v>
      </c>
      <c r="U40" s="55">
        <v>86.46</v>
      </c>
      <c r="V40" s="29">
        <v>86.4</v>
      </c>
      <c r="W40" s="29">
        <v>87</v>
      </c>
      <c r="X40" s="47">
        <v>90.5</v>
      </c>
      <c r="Y40" s="55">
        <v>86.57</v>
      </c>
      <c r="Z40" s="29">
        <v>87.12</v>
      </c>
      <c r="AA40" s="29">
        <v>87.4</v>
      </c>
      <c r="AB40" s="47">
        <v>86.59</v>
      </c>
      <c r="AC40" s="30">
        <v>87.3</v>
      </c>
      <c r="AD40" s="30">
        <v>85.43</v>
      </c>
      <c r="AE40" s="30">
        <v>86.46</v>
      </c>
      <c r="AF40" s="30">
        <v>85.43</v>
      </c>
      <c r="AG40" s="31"/>
      <c r="AH40" s="37"/>
      <c r="AI40" s="37"/>
    </row>
    <row r="41" spans="1:35" s="27" customFormat="1">
      <c r="A41" s="148"/>
      <c r="B41" s="21" t="s">
        <v>10</v>
      </c>
      <c r="C41" s="48" t="s">
        <v>55</v>
      </c>
      <c r="D41" s="28">
        <v>94</v>
      </c>
      <c r="E41" s="28">
        <v>95.51</v>
      </c>
      <c r="F41" s="49">
        <v>95.43</v>
      </c>
      <c r="G41" s="28">
        <v>98.748000000000005</v>
      </c>
      <c r="H41" s="28">
        <v>95.48</v>
      </c>
      <c r="I41" s="28">
        <v>96.88</v>
      </c>
      <c r="J41" s="28">
        <v>98.12</v>
      </c>
      <c r="K41" s="48">
        <v>96.14</v>
      </c>
      <c r="L41" s="28">
        <v>99.02</v>
      </c>
      <c r="M41" s="28">
        <v>97.93</v>
      </c>
      <c r="N41" s="49">
        <v>98.89</v>
      </c>
      <c r="O41" s="48">
        <v>95.37</v>
      </c>
      <c r="P41" s="28">
        <v>96.91</v>
      </c>
      <c r="Q41" s="28">
        <v>102.44199999999999</v>
      </c>
      <c r="R41" s="49">
        <v>98.76</v>
      </c>
      <c r="S41" s="28">
        <v>102.893</v>
      </c>
      <c r="T41" s="49">
        <v>92.69</v>
      </c>
      <c r="U41" s="48">
        <v>92.54</v>
      </c>
      <c r="V41" s="28">
        <v>99.7</v>
      </c>
      <c r="W41" s="28">
        <v>98.46</v>
      </c>
      <c r="X41" s="49">
        <v>92.448999999999998</v>
      </c>
      <c r="Y41" s="48">
        <f>95.94</f>
        <v>95.94</v>
      </c>
      <c r="Z41" s="28">
        <v>103.67</v>
      </c>
      <c r="AA41" s="28">
        <v>96.47</v>
      </c>
      <c r="AB41" s="49">
        <v>107.3</v>
      </c>
      <c r="AC41" s="28">
        <v>95.54</v>
      </c>
      <c r="AD41" s="28">
        <v>95.05</v>
      </c>
      <c r="AE41" s="28">
        <v>94.87</v>
      </c>
      <c r="AF41" s="28">
        <f>92.47</f>
        <v>92.47</v>
      </c>
      <c r="AG41" s="26"/>
      <c r="AH41" s="38"/>
      <c r="AI41" s="38"/>
    </row>
    <row r="42" spans="1:35" s="25" customFormat="1">
      <c r="A42" s="148" t="s">
        <v>7</v>
      </c>
      <c r="B42" s="22" t="s">
        <v>8</v>
      </c>
      <c r="C42" s="50">
        <f t="shared" ref="C42:AF42" si="5">180-C36-C39</f>
        <v>95.215101267789805</v>
      </c>
      <c r="D42" s="42">
        <f t="shared" si="5"/>
        <v>113.29650682371374</v>
      </c>
      <c r="E42" s="42">
        <f t="shared" si="5"/>
        <v>104.56685661568416</v>
      </c>
      <c r="F42" s="51">
        <f t="shared" si="5"/>
        <v>99.306218227196581</v>
      </c>
      <c r="G42" s="50">
        <f t="shared" si="5"/>
        <v>98.699195242546736</v>
      </c>
      <c r="H42" s="42">
        <f t="shared" si="5"/>
        <v>103.31579211029263</v>
      </c>
      <c r="I42" s="42">
        <f t="shared" si="5"/>
        <v>97.741720687655899</v>
      </c>
      <c r="J42" s="51">
        <f t="shared" si="5"/>
        <v>103.18910754506734</v>
      </c>
      <c r="K42" s="50">
        <f t="shared" si="5"/>
        <v>100.89243475600125</v>
      </c>
      <c r="L42" s="42">
        <f t="shared" si="5"/>
        <v>104.52113989687685</v>
      </c>
      <c r="M42" s="42">
        <f t="shared" si="5"/>
        <v>102.71392674359919</v>
      </c>
      <c r="N42" s="51">
        <f t="shared" si="5"/>
        <v>100.88064719179323</v>
      </c>
      <c r="O42" s="50">
        <f t="shared" si="5"/>
        <v>98.22008923157874</v>
      </c>
      <c r="P42" s="42">
        <f t="shared" si="5"/>
        <v>101.33834294295525</v>
      </c>
      <c r="Q42" s="42">
        <f t="shared" si="5"/>
        <v>98.908931848512964</v>
      </c>
      <c r="R42" s="51">
        <f t="shared" si="5"/>
        <v>115.07915137101261</v>
      </c>
      <c r="S42" s="42">
        <f t="shared" si="5"/>
        <v>119.8958017522822</v>
      </c>
      <c r="T42" s="51">
        <f t="shared" si="5"/>
        <v>96.128762174189177</v>
      </c>
      <c r="U42" s="50">
        <f t="shared" si="5"/>
        <v>97.746210620025863</v>
      </c>
      <c r="V42" s="42">
        <f t="shared" si="5"/>
        <v>102.35142900293363</v>
      </c>
      <c r="W42" s="42">
        <f t="shared" si="5"/>
        <v>103.64179044285686</v>
      </c>
      <c r="X42" s="51">
        <f t="shared" si="5"/>
        <v>103.63556044345395</v>
      </c>
      <c r="Y42" s="50">
        <f t="shared" si="5"/>
        <v>104.32230461081852</v>
      </c>
      <c r="Z42" s="42">
        <f t="shared" si="5"/>
        <v>99.606877314075732</v>
      </c>
      <c r="AA42" s="42">
        <f t="shared" si="5"/>
        <v>95.19497002623676</v>
      </c>
      <c r="AB42" s="51">
        <f t="shared" si="5"/>
        <v>97.320715892557899</v>
      </c>
      <c r="AC42" s="24">
        <f t="shared" si="5"/>
        <v>96.267841113756177</v>
      </c>
      <c r="AD42" s="24">
        <f t="shared" si="5"/>
        <v>97.675875597505723</v>
      </c>
      <c r="AE42" s="24">
        <f t="shared" si="5"/>
        <v>100.77114765505907</v>
      </c>
      <c r="AF42" s="24">
        <f t="shared" si="5"/>
        <v>102.64491521930793</v>
      </c>
      <c r="AG42" s="36"/>
      <c r="AH42" s="24"/>
      <c r="AI42" s="24"/>
    </row>
    <row r="43" spans="1:35" s="32" customFormat="1">
      <c r="A43" s="148"/>
      <c r="B43" s="125" t="s">
        <v>134</v>
      </c>
      <c r="C43" s="46" t="s">
        <v>58</v>
      </c>
      <c r="D43" s="29">
        <f>180-104.53</f>
        <v>75.47</v>
      </c>
      <c r="E43" s="29">
        <f>180-105.6</f>
        <v>74.400000000000006</v>
      </c>
      <c r="F43" s="47">
        <f>180-105.33</f>
        <v>74.67</v>
      </c>
      <c r="G43" s="55">
        <f>180-105.27</f>
        <v>74.73</v>
      </c>
      <c r="H43" s="29">
        <f>180-105.11</f>
        <v>74.89</v>
      </c>
      <c r="I43" s="29">
        <f>180-105.3</f>
        <v>74.7</v>
      </c>
      <c r="J43" s="47">
        <f>180-105.3</f>
        <v>74.7</v>
      </c>
      <c r="K43" s="55">
        <f>180-105.36</f>
        <v>74.64</v>
      </c>
      <c r="L43" s="29">
        <f>180-105.6</f>
        <v>74.400000000000006</v>
      </c>
      <c r="M43" s="29">
        <f>180-105.13</f>
        <v>74.87</v>
      </c>
      <c r="N43" s="47">
        <f>180-105.4</f>
        <v>74.599999999999994</v>
      </c>
      <c r="O43" s="55">
        <f>180-104.59</f>
        <v>75.41</v>
      </c>
      <c r="P43" s="29">
        <f>180-105.1</f>
        <v>74.900000000000006</v>
      </c>
      <c r="Q43" s="29">
        <f>180-105.21</f>
        <v>74.790000000000006</v>
      </c>
      <c r="R43" s="47">
        <f>180-105.1</f>
        <v>74.900000000000006</v>
      </c>
      <c r="S43" s="29">
        <f>180-105.5</f>
        <v>74.5</v>
      </c>
      <c r="T43" s="47">
        <f>180-106.52</f>
        <v>73.48</v>
      </c>
      <c r="U43" s="55">
        <f>180-105.7</f>
        <v>74.3</v>
      </c>
      <c r="V43" s="29">
        <f>180-105.15</f>
        <v>74.849999999999994</v>
      </c>
      <c r="W43" s="29">
        <f>180-105.12</f>
        <v>74.88</v>
      </c>
      <c r="X43" s="47">
        <f>180-106.19</f>
        <v>73.81</v>
      </c>
      <c r="Y43" s="55">
        <f>180-105.17</f>
        <v>74.83</v>
      </c>
      <c r="Z43" s="29">
        <f>180-105.52</f>
        <v>74.48</v>
      </c>
      <c r="AA43" s="29">
        <f>180-105.14</f>
        <v>74.86</v>
      </c>
      <c r="AB43" s="47">
        <f>180-105.18</f>
        <v>74.819999999999993</v>
      </c>
      <c r="AC43" s="30">
        <f>180-104.56</f>
        <v>75.44</v>
      </c>
      <c r="AD43" s="30">
        <f>180-105.13</f>
        <v>74.87</v>
      </c>
      <c r="AE43" s="30">
        <f>180-105.33</f>
        <v>74.67</v>
      </c>
      <c r="AF43" s="30">
        <f>180-104.33</f>
        <v>75.67</v>
      </c>
      <c r="AG43" s="31"/>
      <c r="AH43" s="37"/>
      <c r="AI43" s="37"/>
    </row>
    <row r="44" spans="1:35" s="27" customFormat="1">
      <c r="A44" s="148"/>
      <c r="B44" s="21" t="s">
        <v>10</v>
      </c>
      <c r="C44" s="48" t="s">
        <v>55</v>
      </c>
      <c r="D44" s="28">
        <v>69.78</v>
      </c>
      <c r="E44" s="28">
        <v>70.3</v>
      </c>
      <c r="F44" s="49">
        <v>73.33</v>
      </c>
      <c r="G44" s="48">
        <v>71.63</v>
      </c>
      <c r="H44" s="28">
        <v>68.08</v>
      </c>
      <c r="I44" s="28">
        <v>68.84</v>
      </c>
      <c r="J44" s="28">
        <v>71.680000000000007</v>
      </c>
      <c r="K44" s="48">
        <v>77.015000000000001</v>
      </c>
      <c r="L44" s="28">
        <v>74.989999999999995</v>
      </c>
      <c r="M44" s="28">
        <v>74.98</v>
      </c>
      <c r="N44" s="49">
        <v>73.73</v>
      </c>
      <c r="O44" s="48">
        <v>70.260000000000005</v>
      </c>
      <c r="P44" s="28">
        <v>67.39</v>
      </c>
      <c r="Q44" s="28">
        <v>71.248999999999995</v>
      </c>
      <c r="R44" s="49">
        <v>74.3</v>
      </c>
      <c r="S44" s="28">
        <v>75.52</v>
      </c>
      <c r="T44" s="49">
        <v>63.79</v>
      </c>
      <c r="U44" s="48">
        <v>64.77</v>
      </c>
      <c r="V44" s="28">
        <v>73.760000000000005</v>
      </c>
      <c r="W44" s="28">
        <v>70.150000000000006</v>
      </c>
      <c r="X44" s="49">
        <v>68.67</v>
      </c>
      <c r="Y44" s="48">
        <v>70.099999999999994</v>
      </c>
      <c r="Z44" s="28">
        <v>76.040000000000006</v>
      </c>
      <c r="AA44" s="28">
        <v>70.52</v>
      </c>
      <c r="AB44" s="49">
        <v>73.5</v>
      </c>
      <c r="AC44" s="28">
        <v>69.849999999999994</v>
      </c>
      <c r="AD44" s="28">
        <v>71.290000000000006</v>
      </c>
      <c r="AE44" s="28">
        <v>69.45</v>
      </c>
      <c r="AF44" s="28">
        <v>67.02</v>
      </c>
      <c r="AG44" s="26"/>
      <c r="AH44" s="38"/>
      <c r="AI44" s="38"/>
    </row>
    <row r="45" spans="1:35" s="25" customFormat="1">
      <c r="A45" s="149"/>
      <c r="B45" s="22" t="s">
        <v>8</v>
      </c>
      <c r="C45" s="52">
        <f t="shared" ref="C45:AF45" si="6">90-(C42+12)</f>
        <v>-17.215101267789805</v>
      </c>
      <c r="D45" s="43">
        <f t="shared" si="6"/>
        <v>-35.296506823713742</v>
      </c>
      <c r="E45" s="43">
        <f t="shared" si="6"/>
        <v>-26.566856615684159</v>
      </c>
      <c r="F45" s="53">
        <f t="shared" si="6"/>
        <v>-21.306218227196581</v>
      </c>
      <c r="G45" s="52">
        <f t="shared" si="6"/>
        <v>-20.699195242546736</v>
      </c>
      <c r="H45" s="43">
        <f t="shared" si="6"/>
        <v>-25.315792110292634</v>
      </c>
      <c r="I45" s="43">
        <f t="shared" si="6"/>
        <v>-19.741720687655899</v>
      </c>
      <c r="J45" s="53">
        <f t="shared" si="6"/>
        <v>-25.189107545067344</v>
      </c>
      <c r="K45" s="52">
        <f t="shared" si="6"/>
        <v>-22.892434756001251</v>
      </c>
      <c r="L45" s="43">
        <f t="shared" si="6"/>
        <v>-26.521139896876846</v>
      </c>
      <c r="M45" s="43">
        <f t="shared" si="6"/>
        <v>-24.713926743599188</v>
      </c>
      <c r="N45" s="53">
        <f t="shared" si="6"/>
        <v>-22.88064719179323</v>
      </c>
      <c r="O45" s="52">
        <f t="shared" si="6"/>
        <v>-20.22008923157874</v>
      </c>
      <c r="P45" s="43">
        <f t="shared" si="6"/>
        <v>-23.338342942955251</v>
      </c>
      <c r="Q45" s="43">
        <f t="shared" si="6"/>
        <v>-20.908931848512964</v>
      </c>
      <c r="R45" s="53">
        <f t="shared" si="6"/>
        <v>-37.079151371012614</v>
      </c>
      <c r="S45" s="43">
        <f t="shared" si="6"/>
        <v>-41.895801752282182</v>
      </c>
      <c r="T45" s="53">
        <f t="shared" si="6"/>
        <v>-18.128762174189177</v>
      </c>
      <c r="U45" s="52">
        <f t="shared" si="6"/>
        <v>-19.746210620025863</v>
      </c>
      <c r="V45" s="43">
        <f t="shared" si="6"/>
        <v>-24.351429002933628</v>
      </c>
      <c r="W45" s="43">
        <f t="shared" si="6"/>
        <v>-25.641790442856859</v>
      </c>
      <c r="X45" s="53">
        <f t="shared" si="6"/>
        <v>-25.635560443453954</v>
      </c>
      <c r="Y45" s="52">
        <f t="shared" si="6"/>
        <v>-26.32230461081852</v>
      </c>
      <c r="Z45" s="43">
        <f t="shared" si="6"/>
        <v>-21.606877314075732</v>
      </c>
      <c r="AA45" s="43">
        <f t="shared" si="6"/>
        <v>-17.19497002623676</v>
      </c>
      <c r="AB45" s="53">
        <f t="shared" si="6"/>
        <v>-19.320715892557899</v>
      </c>
      <c r="AC45" s="35">
        <f t="shared" si="6"/>
        <v>-18.267841113756177</v>
      </c>
      <c r="AD45" s="35">
        <f t="shared" si="6"/>
        <v>-19.675875597505723</v>
      </c>
      <c r="AE45" s="35">
        <f t="shared" si="6"/>
        <v>-22.771147655059067</v>
      </c>
      <c r="AF45" s="35">
        <f t="shared" si="6"/>
        <v>-24.644915219307933</v>
      </c>
      <c r="AG45" s="36"/>
      <c r="AH45" s="24"/>
      <c r="AI45" s="24"/>
    </row>
    <row r="46" spans="1:35" s="32" customFormat="1">
      <c r="A46" s="150"/>
      <c r="B46" s="125" t="s">
        <v>134</v>
      </c>
      <c r="C46" s="46" t="s">
        <v>55</v>
      </c>
      <c r="D46" s="29">
        <f t="shared" ref="D46:AF46" si="7">90-(D43+12)</f>
        <v>2.5300000000000011</v>
      </c>
      <c r="E46" s="29">
        <f t="shared" si="7"/>
        <v>3.5999999999999943</v>
      </c>
      <c r="F46" s="47">
        <f t="shared" si="7"/>
        <v>3.3299999999999983</v>
      </c>
      <c r="G46" s="55">
        <f t="shared" si="7"/>
        <v>3.269999999999996</v>
      </c>
      <c r="H46" s="29">
        <f t="shared" si="7"/>
        <v>3.1099999999999994</v>
      </c>
      <c r="I46" s="29">
        <f t="shared" si="7"/>
        <v>3.2999999999999972</v>
      </c>
      <c r="J46" s="47">
        <f t="shared" si="7"/>
        <v>3.2999999999999972</v>
      </c>
      <c r="K46" s="55">
        <f t="shared" si="7"/>
        <v>3.3599999999999994</v>
      </c>
      <c r="L46" s="29">
        <f t="shared" si="7"/>
        <v>3.5999999999999943</v>
      </c>
      <c r="M46" s="29">
        <f t="shared" si="7"/>
        <v>3.1299999999999955</v>
      </c>
      <c r="N46" s="47">
        <f t="shared" si="7"/>
        <v>3.4000000000000057</v>
      </c>
      <c r="O46" s="55">
        <f t="shared" si="7"/>
        <v>2.5900000000000034</v>
      </c>
      <c r="P46" s="29">
        <f t="shared" si="7"/>
        <v>3.0999999999999943</v>
      </c>
      <c r="Q46" s="29">
        <f t="shared" si="7"/>
        <v>3.2099999999999937</v>
      </c>
      <c r="R46" s="47">
        <f t="shared" si="7"/>
        <v>3.0999999999999943</v>
      </c>
      <c r="S46" s="29">
        <f t="shared" si="7"/>
        <v>3.5</v>
      </c>
      <c r="T46" s="47">
        <f t="shared" si="7"/>
        <v>4.519999999999996</v>
      </c>
      <c r="U46" s="55">
        <f t="shared" si="7"/>
        <v>3.7000000000000028</v>
      </c>
      <c r="V46" s="29">
        <f t="shared" si="7"/>
        <v>3.1500000000000057</v>
      </c>
      <c r="W46" s="29">
        <f t="shared" si="7"/>
        <v>3.1200000000000045</v>
      </c>
      <c r="X46" s="47">
        <f t="shared" si="7"/>
        <v>4.1899999999999977</v>
      </c>
      <c r="Y46" s="55">
        <f t="shared" si="7"/>
        <v>3.1700000000000017</v>
      </c>
      <c r="Z46" s="29">
        <f t="shared" si="7"/>
        <v>3.519999999999996</v>
      </c>
      <c r="AA46" s="29">
        <f t="shared" si="7"/>
        <v>3.1400000000000006</v>
      </c>
      <c r="AB46" s="47">
        <f t="shared" si="7"/>
        <v>3.1800000000000068</v>
      </c>
      <c r="AC46" s="30">
        <f t="shared" si="7"/>
        <v>2.5600000000000023</v>
      </c>
      <c r="AD46" s="30">
        <f t="shared" si="7"/>
        <v>3.1299999999999955</v>
      </c>
      <c r="AE46" s="30">
        <f t="shared" si="7"/>
        <v>3.3299999999999983</v>
      </c>
      <c r="AF46" s="30">
        <f t="shared" si="7"/>
        <v>2.3299999999999983</v>
      </c>
      <c r="AG46" s="31"/>
      <c r="AH46" s="37"/>
      <c r="AI46" s="37"/>
    </row>
    <row r="47" spans="1:35" s="27" customFormat="1">
      <c r="A47" s="151"/>
      <c r="B47" s="21" t="s">
        <v>10</v>
      </c>
      <c r="C47" s="48" t="s">
        <v>55</v>
      </c>
      <c r="D47" s="28">
        <f t="shared" ref="D47:J47" si="8">90-(D44+12)</f>
        <v>8.2199999999999989</v>
      </c>
      <c r="E47" s="28">
        <f t="shared" si="8"/>
        <v>7.7000000000000028</v>
      </c>
      <c r="F47" s="49">
        <f t="shared" si="8"/>
        <v>4.6700000000000017</v>
      </c>
      <c r="G47" s="28">
        <f t="shared" si="8"/>
        <v>6.3700000000000045</v>
      </c>
      <c r="H47" s="28">
        <f t="shared" si="8"/>
        <v>9.9200000000000017</v>
      </c>
      <c r="I47" s="28">
        <f t="shared" si="8"/>
        <v>9.1599999999999966</v>
      </c>
      <c r="J47" s="28">
        <f t="shared" si="8"/>
        <v>6.3199999999999932</v>
      </c>
      <c r="K47" s="28">
        <f t="shared" ref="K47:AF47" si="9">90-(K44+12)</f>
        <v>0.98499999999999943</v>
      </c>
      <c r="L47" s="28">
        <f t="shared" si="9"/>
        <v>3.0100000000000051</v>
      </c>
      <c r="M47" s="28">
        <f t="shared" si="9"/>
        <v>3.019999999999996</v>
      </c>
      <c r="N47" s="28">
        <f t="shared" si="9"/>
        <v>4.269999999999996</v>
      </c>
      <c r="O47" s="48">
        <f t="shared" si="9"/>
        <v>7.7399999999999949</v>
      </c>
      <c r="P47" s="28">
        <f t="shared" si="9"/>
        <v>10.61</v>
      </c>
      <c r="Q47" s="28">
        <f t="shared" si="9"/>
        <v>6.7510000000000048</v>
      </c>
      <c r="R47" s="28">
        <f t="shared" si="9"/>
        <v>3.7000000000000028</v>
      </c>
      <c r="S47" s="48">
        <f t="shared" si="9"/>
        <v>2.480000000000004</v>
      </c>
      <c r="T47" s="28">
        <f t="shared" si="9"/>
        <v>14.210000000000008</v>
      </c>
      <c r="U47" s="28">
        <f t="shared" si="9"/>
        <v>13.230000000000004</v>
      </c>
      <c r="V47" s="28">
        <f t="shared" si="9"/>
        <v>4.2399999999999949</v>
      </c>
      <c r="W47" s="28">
        <f t="shared" si="9"/>
        <v>7.8499999999999943</v>
      </c>
      <c r="X47" s="28">
        <f t="shared" si="9"/>
        <v>9.3299999999999983</v>
      </c>
      <c r="Y47" s="48">
        <f t="shared" si="9"/>
        <v>7.9000000000000057</v>
      </c>
      <c r="Z47" s="28">
        <f t="shared" si="9"/>
        <v>1.9599999999999937</v>
      </c>
      <c r="AA47" s="28">
        <f t="shared" si="9"/>
        <v>7.480000000000004</v>
      </c>
      <c r="AB47" s="49">
        <f t="shared" si="9"/>
        <v>4.5</v>
      </c>
      <c r="AC47" s="28">
        <f t="shared" si="9"/>
        <v>8.1500000000000057</v>
      </c>
      <c r="AD47" s="28">
        <f t="shared" si="9"/>
        <v>6.7099999999999937</v>
      </c>
      <c r="AE47" s="28">
        <f t="shared" si="9"/>
        <v>8.5499999999999972</v>
      </c>
      <c r="AF47" s="28">
        <f t="shared" si="9"/>
        <v>10.980000000000004</v>
      </c>
      <c r="AG47" s="26"/>
      <c r="AH47" s="38"/>
      <c r="AI47" s="38"/>
    </row>
    <row r="48" spans="1:35" s="25" customFormat="1">
      <c r="A48" s="148" t="s">
        <v>73</v>
      </c>
      <c r="B48" s="22" t="s">
        <v>8</v>
      </c>
      <c r="C48" s="50">
        <v>90.1</v>
      </c>
      <c r="D48" s="42">
        <v>92.5</v>
      </c>
      <c r="E48" s="42">
        <v>88.1</v>
      </c>
      <c r="F48" s="51">
        <v>112.2</v>
      </c>
      <c r="G48" s="50">
        <v>63.4</v>
      </c>
      <c r="H48" s="42">
        <v>105.1</v>
      </c>
      <c r="I48" s="42">
        <v>100</v>
      </c>
      <c r="J48" s="51">
        <v>82.2</v>
      </c>
      <c r="K48" s="50">
        <v>99</v>
      </c>
      <c r="L48" s="42">
        <v>81.2</v>
      </c>
      <c r="M48" s="42">
        <v>72.3</v>
      </c>
      <c r="N48" s="51">
        <v>76.5</v>
      </c>
      <c r="O48" s="50">
        <v>72</v>
      </c>
      <c r="P48" s="42">
        <v>92.8</v>
      </c>
      <c r="Q48" s="42">
        <v>67.5</v>
      </c>
      <c r="R48" s="51">
        <v>84.5</v>
      </c>
      <c r="S48" s="42">
        <v>81.7</v>
      </c>
      <c r="T48" s="51">
        <v>85.1</v>
      </c>
      <c r="U48" s="50">
        <v>97</v>
      </c>
      <c r="V48" s="42">
        <v>92</v>
      </c>
      <c r="W48" s="42">
        <v>80</v>
      </c>
      <c r="X48" s="51">
        <v>100.2</v>
      </c>
      <c r="Y48" s="50">
        <v>86</v>
      </c>
      <c r="Z48" s="42">
        <v>95.2</v>
      </c>
      <c r="AA48" s="42">
        <v>83.2</v>
      </c>
      <c r="AB48" s="51">
        <v>99</v>
      </c>
      <c r="AC48" s="24">
        <v>101.2</v>
      </c>
      <c r="AD48" s="24">
        <v>70.099999999999994</v>
      </c>
      <c r="AE48" s="24">
        <v>91.1</v>
      </c>
      <c r="AF48" s="24">
        <v>76.2</v>
      </c>
      <c r="AG48" s="36"/>
      <c r="AH48" s="24"/>
      <c r="AI48" s="24"/>
    </row>
    <row r="49" spans="1:35" s="32" customFormat="1">
      <c r="A49" s="148" t="s">
        <v>51</v>
      </c>
      <c r="B49" s="125" t="s">
        <v>134</v>
      </c>
      <c r="C49" s="46" t="s">
        <v>58</v>
      </c>
      <c r="D49" s="29">
        <v>83.26</v>
      </c>
      <c r="E49" s="29">
        <v>79.92</v>
      </c>
      <c r="F49" s="47">
        <v>101.7</v>
      </c>
      <c r="G49" s="55">
        <v>77.989999999999995</v>
      </c>
      <c r="H49" s="29">
        <v>105.26</v>
      </c>
      <c r="I49" s="29">
        <v>93.44</v>
      </c>
      <c r="J49" s="47">
        <v>82.83</v>
      </c>
      <c r="K49" s="55">
        <v>92.1</v>
      </c>
      <c r="L49" s="29">
        <v>81.069999999999993</v>
      </c>
      <c r="M49" s="29">
        <v>72.819999999999993</v>
      </c>
      <c r="N49" s="47">
        <v>77.2</v>
      </c>
      <c r="O49" s="55">
        <v>70.510000000000005</v>
      </c>
      <c r="P49" s="29">
        <v>95.63</v>
      </c>
      <c r="Q49" s="29">
        <v>69.39</v>
      </c>
      <c r="R49" s="47">
        <v>85.99</v>
      </c>
      <c r="S49" s="29">
        <v>74.349999999999994</v>
      </c>
      <c r="T49" s="47">
        <v>78.91</v>
      </c>
      <c r="U49" s="55">
        <v>93.09</v>
      </c>
      <c r="V49" s="29">
        <v>86.36</v>
      </c>
      <c r="W49" s="29">
        <v>73.91</v>
      </c>
      <c r="X49" s="47">
        <v>99.09</v>
      </c>
      <c r="Y49" s="55">
        <v>82.92</v>
      </c>
      <c r="Z49" s="29">
        <v>83.72</v>
      </c>
      <c r="AA49" s="29">
        <v>81.180000000000007</v>
      </c>
      <c r="AB49" s="47">
        <v>88.18</v>
      </c>
      <c r="AC49" s="30">
        <v>95.23</v>
      </c>
      <c r="AD49" s="30">
        <v>79.77</v>
      </c>
      <c r="AE49" s="30">
        <v>89.38</v>
      </c>
      <c r="AF49" s="30">
        <v>77.930000000000007</v>
      </c>
      <c r="AG49" s="31"/>
      <c r="AH49" s="37"/>
      <c r="AI49" s="37"/>
    </row>
    <row r="50" spans="1:35" s="27" customFormat="1">
      <c r="A50" s="148"/>
      <c r="B50" s="21" t="s">
        <v>10</v>
      </c>
      <c r="C50" s="48" t="s">
        <v>58</v>
      </c>
      <c r="D50" s="28">
        <v>106.3</v>
      </c>
      <c r="E50" s="28">
        <v>94.17</v>
      </c>
      <c r="F50" s="49">
        <v>105.63</v>
      </c>
      <c r="G50" s="48">
        <v>96.8</v>
      </c>
      <c r="H50" s="28">
        <v>105.9</v>
      </c>
      <c r="I50" s="28">
        <v>108.84</v>
      </c>
      <c r="J50" s="28">
        <v>88.174999999999997</v>
      </c>
      <c r="K50" s="48">
        <v>108.23</v>
      </c>
      <c r="L50" s="28">
        <v>87.152000000000001</v>
      </c>
      <c r="M50" s="28">
        <v>73.448999999999998</v>
      </c>
      <c r="N50" s="49">
        <v>94.995000000000005</v>
      </c>
      <c r="O50" s="48">
        <v>75.73</v>
      </c>
      <c r="P50" s="28">
        <v>80.680000000000007</v>
      </c>
      <c r="Q50" s="28">
        <v>66.790000000000006</v>
      </c>
      <c r="R50" s="49">
        <v>100.08</v>
      </c>
      <c r="S50" s="28">
        <v>77.569999999999993</v>
      </c>
      <c r="T50" s="49">
        <v>94.84</v>
      </c>
      <c r="U50" s="48">
        <v>91.161000000000001</v>
      </c>
      <c r="V50" s="28">
        <v>86.335999999999999</v>
      </c>
      <c r="W50" s="28">
        <v>86.210999999999999</v>
      </c>
      <c r="X50" s="49">
        <v>101.56</v>
      </c>
      <c r="Y50" s="48">
        <v>84.57</v>
      </c>
      <c r="Z50" s="28">
        <v>85.75</v>
      </c>
      <c r="AA50" s="28">
        <v>88.45</v>
      </c>
      <c r="AB50" s="49">
        <v>90.57</v>
      </c>
      <c r="AC50" s="28">
        <v>99.64</v>
      </c>
      <c r="AD50" s="28">
        <v>85.24</v>
      </c>
      <c r="AE50" s="28">
        <v>87.07</v>
      </c>
      <c r="AF50" s="28">
        <v>82.16</v>
      </c>
      <c r="AG50" s="26"/>
      <c r="AH50" s="38"/>
      <c r="AI50" s="38"/>
    </row>
    <row r="51" spans="1:35" s="34" customFormat="1" ht="12.75" customHeight="1">
      <c r="A51" s="156" t="s">
        <v>52</v>
      </c>
      <c r="B51" s="33" t="s">
        <v>53</v>
      </c>
      <c r="C51" s="70" t="s">
        <v>58</v>
      </c>
      <c r="D51" s="68">
        <v>0.13</v>
      </c>
      <c r="E51" s="68">
        <v>0.1</v>
      </c>
      <c r="F51" s="69">
        <v>0.15</v>
      </c>
      <c r="G51" s="70">
        <v>0.2</v>
      </c>
      <c r="H51" s="68">
        <v>0.2</v>
      </c>
      <c r="I51" s="68">
        <v>0.24</v>
      </c>
      <c r="J51" s="69">
        <v>0.2</v>
      </c>
      <c r="K51" s="70">
        <v>0.31</v>
      </c>
      <c r="L51" s="68">
        <v>0.26</v>
      </c>
      <c r="M51" s="68">
        <v>0.3</v>
      </c>
      <c r="N51" s="69">
        <v>0.3</v>
      </c>
      <c r="O51" s="70">
        <v>0.3</v>
      </c>
      <c r="P51" s="68">
        <v>0.3</v>
      </c>
      <c r="Q51" s="68">
        <v>0.12</v>
      </c>
      <c r="R51" s="69">
        <v>0.27</v>
      </c>
      <c r="S51" s="68">
        <v>0.3</v>
      </c>
      <c r="T51" s="69">
        <v>0.3</v>
      </c>
      <c r="U51" s="70">
        <v>0.3</v>
      </c>
      <c r="V51" s="68">
        <v>0.4</v>
      </c>
      <c r="W51" s="68">
        <v>0.4</v>
      </c>
      <c r="X51" s="69">
        <v>0.4</v>
      </c>
      <c r="Y51" s="70">
        <v>0.3</v>
      </c>
      <c r="Z51" s="68">
        <v>0.3</v>
      </c>
      <c r="AA51" s="68">
        <v>0.4</v>
      </c>
      <c r="AB51" s="69">
        <v>0.5</v>
      </c>
      <c r="AC51" s="61">
        <v>0.4</v>
      </c>
      <c r="AD51" s="61">
        <v>0.3</v>
      </c>
      <c r="AE51" s="61">
        <v>0.4</v>
      </c>
      <c r="AF51" s="61">
        <v>0.4</v>
      </c>
      <c r="AG51" s="71"/>
      <c r="AH51" s="24"/>
      <c r="AI51" s="24"/>
    </row>
    <row r="52" spans="1:35" s="34" customFormat="1">
      <c r="A52" s="157"/>
      <c r="B52" s="33" t="s">
        <v>54</v>
      </c>
      <c r="C52" s="74" t="s">
        <v>58</v>
      </c>
      <c r="D52" s="72">
        <v>1.03</v>
      </c>
      <c r="E52" s="72">
        <v>1.2</v>
      </c>
      <c r="F52" s="73">
        <v>1.37</v>
      </c>
      <c r="G52" s="74">
        <v>1.7</v>
      </c>
      <c r="H52" s="72">
        <v>1.7</v>
      </c>
      <c r="I52" s="72">
        <v>2.63</v>
      </c>
      <c r="J52" s="73">
        <v>2.2000000000000002</v>
      </c>
      <c r="K52" s="74">
        <v>2.14</v>
      </c>
      <c r="L52" s="72">
        <v>2.27</v>
      </c>
      <c r="M52" s="72">
        <v>2.7</v>
      </c>
      <c r="N52" s="73">
        <v>2.6</v>
      </c>
      <c r="O52" s="74">
        <v>2.7</v>
      </c>
      <c r="P52" s="72">
        <v>2.8</v>
      </c>
      <c r="Q52" s="72">
        <v>0.65</v>
      </c>
      <c r="R52" s="73">
        <v>2.44</v>
      </c>
      <c r="S52" s="72">
        <v>2.4</v>
      </c>
      <c r="T52" s="73">
        <v>2.6</v>
      </c>
      <c r="U52" s="74">
        <v>3.8</v>
      </c>
      <c r="V52" s="72">
        <v>3.3</v>
      </c>
      <c r="W52" s="72">
        <v>2.8</v>
      </c>
      <c r="X52" s="73">
        <v>3.5</v>
      </c>
      <c r="Y52" s="74">
        <v>2.2000000000000002</v>
      </c>
      <c r="Z52" s="72">
        <v>3</v>
      </c>
      <c r="AA52" s="72">
        <v>3.1</v>
      </c>
      <c r="AB52" s="73">
        <v>5</v>
      </c>
      <c r="AC52" s="72">
        <v>4.7</v>
      </c>
      <c r="AD52" s="72">
        <v>4.5999999999999996</v>
      </c>
      <c r="AE52" s="72">
        <v>4</v>
      </c>
      <c r="AF52" s="72">
        <v>3.1</v>
      </c>
      <c r="AG52" s="75"/>
      <c r="AH52" s="24"/>
      <c r="AI52" s="24"/>
    </row>
    <row r="60" spans="1:35">
      <c r="D60" s="87"/>
    </row>
  </sheetData>
  <mergeCells count="35">
    <mergeCell ref="C1:R1"/>
    <mergeCell ref="O3:R3"/>
    <mergeCell ref="U3:X3"/>
    <mergeCell ref="Y3:AB3"/>
    <mergeCell ref="A8:A10"/>
    <mergeCell ref="S3:T3"/>
    <mergeCell ref="A3:B4"/>
    <mergeCell ref="A23:A24"/>
    <mergeCell ref="A20:A22"/>
    <mergeCell ref="AG3:AG4"/>
    <mergeCell ref="AC3:AF3"/>
    <mergeCell ref="A5:A7"/>
    <mergeCell ref="A17:A19"/>
    <mergeCell ref="C3:F3"/>
    <mergeCell ref="G3:J3"/>
    <mergeCell ref="A14:A16"/>
    <mergeCell ref="K3:N3"/>
    <mergeCell ref="A11:A13"/>
    <mergeCell ref="A45:A47"/>
    <mergeCell ref="O31:R31"/>
    <mergeCell ref="A31:B32"/>
    <mergeCell ref="A51:A52"/>
    <mergeCell ref="A48:A50"/>
    <mergeCell ref="A36:A38"/>
    <mergeCell ref="A39:A41"/>
    <mergeCell ref="A42:A44"/>
    <mergeCell ref="AG31:AG32"/>
    <mergeCell ref="U31:X31"/>
    <mergeCell ref="Y31:AB31"/>
    <mergeCell ref="AC31:AF31"/>
    <mergeCell ref="A33:A35"/>
    <mergeCell ref="C31:F31"/>
    <mergeCell ref="G31:J31"/>
    <mergeCell ref="K31:N31"/>
    <mergeCell ref="S31:T3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18"/>
  <sheetViews>
    <sheetView zoomScale="96" zoomScaleNormal="96" workbookViewId="0">
      <selection activeCell="H6" sqref="H6"/>
    </sheetView>
  </sheetViews>
  <sheetFormatPr baseColWidth="10" defaultColWidth="9.140625" defaultRowHeight="15"/>
  <cols>
    <col min="1" max="1" width="19.28515625" style="1" customWidth="1"/>
    <col min="2" max="2" width="12.42578125" style="1" customWidth="1"/>
    <col min="3" max="3" width="11.42578125" customWidth="1"/>
    <col min="4" max="4" width="10.85546875" customWidth="1"/>
    <col min="5" max="5" width="9.85546875" customWidth="1"/>
    <col min="8" max="8" width="11" customWidth="1"/>
    <col min="9" max="9" width="12" customWidth="1"/>
    <col min="11" max="11" width="24" customWidth="1"/>
  </cols>
  <sheetData>
    <row r="1" spans="1:29" ht="21">
      <c r="A1" s="114"/>
      <c r="B1" s="114"/>
      <c r="C1" s="113"/>
      <c r="D1" s="113"/>
      <c r="E1" s="113"/>
      <c r="G1" s="113"/>
    </row>
    <row r="2" spans="1:29" ht="21">
      <c r="A2" s="136" t="s">
        <v>129</v>
      </c>
      <c r="B2" s="136"/>
      <c r="C2" s="136"/>
      <c r="D2" s="136"/>
      <c r="E2" s="136"/>
      <c r="F2" s="136"/>
      <c r="G2" s="136"/>
      <c r="H2" s="136"/>
      <c r="I2" s="136"/>
      <c r="J2" s="136"/>
    </row>
    <row r="4" spans="1:29">
      <c r="A4" s="137" t="s">
        <v>130</v>
      </c>
      <c r="B4" s="137"/>
      <c r="C4" s="137"/>
      <c r="D4" s="137"/>
      <c r="E4" s="137"/>
      <c r="G4" s="137"/>
    </row>
    <row r="6" spans="1:29" ht="75" customHeight="1">
      <c r="A6" s="174" t="s">
        <v>44</v>
      </c>
      <c r="B6" s="174"/>
      <c r="C6" s="9" t="s">
        <v>60</v>
      </c>
      <c r="D6" s="9" t="s">
        <v>61</v>
      </c>
      <c r="E6" s="9" t="s">
        <v>62</v>
      </c>
      <c r="F6" s="9" t="s">
        <v>65</v>
      </c>
      <c r="G6" s="9" t="s">
        <v>63</v>
      </c>
      <c r="H6" s="9" t="s">
        <v>5</v>
      </c>
      <c r="I6" s="9" t="s">
        <v>66</v>
      </c>
      <c r="J6" s="9" t="s">
        <v>64</v>
      </c>
      <c r="K6" s="178" t="s">
        <v>76</v>
      </c>
      <c r="L6" s="179"/>
      <c r="M6" s="179"/>
      <c r="N6" s="179"/>
      <c r="O6" s="179"/>
      <c r="P6" s="179"/>
      <c r="Q6" s="179"/>
    </row>
    <row r="7" spans="1:29">
      <c r="A7" s="160" t="s">
        <v>48</v>
      </c>
      <c r="B7" s="19" t="s">
        <v>8</v>
      </c>
      <c r="C7" s="24">
        <v>50.4</v>
      </c>
      <c r="D7" s="24">
        <v>54.147499999999994</v>
      </c>
      <c r="E7" s="24">
        <v>45.597499999999997</v>
      </c>
      <c r="F7" s="24">
        <v>13.407999999999999</v>
      </c>
      <c r="G7" s="24">
        <v>19.649999999999999</v>
      </c>
      <c r="H7" s="24">
        <v>14.903499999999999</v>
      </c>
      <c r="I7" s="24">
        <v>15.883749999999999</v>
      </c>
      <c r="J7" s="24">
        <v>14.95</v>
      </c>
      <c r="K7" s="80" t="s">
        <v>84</v>
      </c>
      <c r="L7" s="81"/>
      <c r="M7" s="81"/>
      <c r="N7" s="81"/>
      <c r="O7" s="81"/>
      <c r="P7" s="81"/>
      <c r="Q7" s="81"/>
    </row>
    <row r="8" spans="1:29">
      <c r="A8" s="160"/>
      <c r="B8" s="125" t="s">
        <v>134</v>
      </c>
      <c r="C8" s="37">
        <v>37.200000000000003</v>
      </c>
      <c r="D8" s="37">
        <v>53.384999999999998</v>
      </c>
      <c r="E8" s="37">
        <v>62.852499999999999</v>
      </c>
      <c r="F8" s="37">
        <v>48.925000000000004</v>
      </c>
      <c r="G8" s="37">
        <v>60.760000000000005</v>
      </c>
      <c r="H8" s="37">
        <v>51.307499999999997</v>
      </c>
      <c r="I8" s="37">
        <v>53.795000000000002</v>
      </c>
      <c r="J8" s="37">
        <v>42.754999999999995</v>
      </c>
      <c r="K8" s="85" t="s">
        <v>78</v>
      </c>
      <c r="L8" s="82"/>
      <c r="M8" s="82"/>
      <c r="N8" s="82"/>
      <c r="O8" s="82"/>
      <c r="P8" s="82"/>
      <c r="Q8" s="82"/>
    </row>
    <row r="9" spans="1:29">
      <c r="A9" s="160"/>
      <c r="B9" s="21" t="s">
        <v>10</v>
      </c>
      <c r="C9" s="38">
        <v>12</v>
      </c>
      <c r="D9" s="38">
        <v>26.4</v>
      </c>
      <c r="E9" s="38">
        <v>28.335666666666668</v>
      </c>
      <c r="F9" s="38">
        <v>22.256666666666664</v>
      </c>
      <c r="G9" s="38">
        <v>33.161999999999999</v>
      </c>
      <c r="H9" s="38">
        <v>29.164249999999999</v>
      </c>
      <c r="I9" s="38">
        <v>27.91</v>
      </c>
      <c r="J9" s="38">
        <v>27.15</v>
      </c>
      <c r="K9" s="83" t="s">
        <v>92</v>
      </c>
      <c r="L9" s="84"/>
      <c r="M9" s="84"/>
      <c r="N9" s="84"/>
      <c r="O9" s="84"/>
      <c r="P9" s="84"/>
      <c r="Q9" s="84"/>
      <c r="R9" s="1"/>
      <c r="S9" s="1"/>
      <c r="X9" s="1"/>
      <c r="Y9" s="1"/>
      <c r="AA9" s="1"/>
      <c r="AB9" s="1"/>
      <c r="AC9" s="1"/>
    </row>
    <row r="10" spans="1:29">
      <c r="A10" s="180" t="s">
        <v>67</v>
      </c>
      <c r="B10" s="19" t="s">
        <v>8</v>
      </c>
      <c r="C10" s="24">
        <v>23.7</v>
      </c>
      <c r="D10" s="24">
        <v>23.271236280840782</v>
      </c>
      <c r="E10" s="24">
        <v>25.069369891842822</v>
      </c>
      <c r="F10" s="24">
        <v>24.866209751659671</v>
      </c>
      <c r="G10" s="24">
        <v>23.946880703482684</v>
      </c>
      <c r="H10" s="24">
        <v>23.455192382161123</v>
      </c>
      <c r="I10" s="24">
        <v>23.963901591604966</v>
      </c>
      <c r="J10" s="24">
        <v>25.150172411170079</v>
      </c>
      <c r="K10" s="80" t="s">
        <v>87</v>
      </c>
      <c r="L10" s="81"/>
      <c r="M10" s="81"/>
      <c r="N10" s="81"/>
      <c r="O10" s="81"/>
      <c r="P10" s="81"/>
      <c r="Q10" s="81"/>
    </row>
    <row r="11" spans="1:29">
      <c r="A11" s="180"/>
      <c r="B11" s="125" t="s">
        <v>134</v>
      </c>
      <c r="C11" s="37">
        <v>18.627499999999998</v>
      </c>
      <c r="D11" s="37">
        <v>18.782499999999999</v>
      </c>
      <c r="E11" s="37">
        <v>18.887500000000003</v>
      </c>
      <c r="F11" s="37">
        <v>18.410000000000004</v>
      </c>
      <c r="G11" s="37">
        <v>17.785000000000004</v>
      </c>
      <c r="H11" s="37">
        <v>18.647500000000008</v>
      </c>
      <c r="I11" s="37">
        <v>20.772499999999994</v>
      </c>
      <c r="J11" s="37">
        <v>18.844999999999999</v>
      </c>
      <c r="K11" s="85" t="s">
        <v>78</v>
      </c>
      <c r="L11" s="82"/>
      <c r="M11" s="82"/>
      <c r="N11" s="82"/>
      <c r="O11" s="82"/>
      <c r="P11" s="82"/>
      <c r="Q11" s="82"/>
    </row>
    <row r="12" spans="1:29">
      <c r="A12" s="180"/>
      <c r="B12" s="21" t="s">
        <v>10</v>
      </c>
      <c r="C12" s="38">
        <v>26.8</v>
      </c>
      <c r="D12" s="38">
        <v>26</v>
      </c>
      <c r="E12" s="38">
        <v>26.40775</v>
      </c>
      <c r="F12" s="38">
        <v>25.498333333333324</v>
      </c>
      <c r="G12" s="38">
        <v>25.853333333333325</v>
      </c>
      <c r="H12" s="38">
        <v>27.795000000000002</v>
      </c>
      <c r="I12" s="38">
        <v>25.460749999999997</v>
      </c>
      <c r="J12" s="38">
        <v>27.635000000000005</v>
      </c>
      <c r="K12" s="83" t="s">
        <v>80</v>
      </c>
      <c r="L12" s="84"/>
      <c r="M12" s="84"/>
      <c r="N12" s="84"/>
      <c r="O12" s="84"/>
      <c r="P12" s="84"/>
      <c r="Q12" s="84"/>
    </row>
    <row r="13" spans="1:29">
      <c r="A13" s="181" t="s">
        <v>68</v>
      </c>
      <c r="B13" s="19" t="s">
        <v>8</v>
      </c>
      <c r="C13" s="24">
        <v>53.6</v>
      </c>
      <c r="D13" s="24">
        <v>44.011403008681668</v>
      </c>
      <c r="E13" s="24">
        <v>47.90496463321697</v>
      </c>
      <c r="F13" s="24">
        <v>60.154778734326555</v>
      </c>
      <c r="G13" s="24">
        <v>61.808911930750867</v>
      </c>
      <c r="H13" s="24">
        <v>61.886268911154211</v>
      </c>
      <c r="I13" s="24">
        <v>56.965185052784101</v>
      </c>
      <c r="J13" s="24">
        <v>60.21858998383837</v>
      </c>
      <c r="K13" s="80" t="s">
        <v>88</v>
      </c>
      <c r="L13" s="81"/>
      <c r="M13" s="81"/>
      <c r="N13" s="81"/>
      <c r="O13" s="81"/>
      <c r="P13" s="81"/>
      <c r="Q13" s="81"/>
    </row>
    <row r="14" spans="1:29">
      <c r="A14" s="182"/>
      <c r="B14" s="125" t="s">
        <v>134</v>
      </c>
      <c r="C14" s="37">
        <v>93.89500000000001</v>
      </c>
      <c r="D14" s="37">
        <v>94.114999999999995</v>
      </c>
      <c r="E14" s="37">
        <v>93.597499999999997</v>
      </c>
      <c r="F14" s="37">
        <v>93.44</v>
      </c>
      <c r="G14" s="37">
        <v>94.677500000000009</v>
      </c>
      <c r="H14" s="37">
        <v>93.677500000000009</v>
      </c>
      <c r="I14" s="37">
        <v>93.462500000000006</v>
      </c>
      <c r="J14" s="37">
        <v>93.414999999999992</v>
      </c>
      <c r="K14" s="85" t="s">
        <v>78</v>
      </c>
      <c r="L14" s="82"/>
      <c r="M14" s="82"/>
      <c r="N14" s="82"/>
      <c r="O14" s="82"/>
      <c r="P14" s="82"/>
      <c r="Q14" s="82"/>
    </row>
    <row r="15" spans="1:29">
      <c r="A15" s="183"/>
      <c r="B15" s="21" t="s">
        <v>10</v>
      </c>
      <c r="C15" s="38">
        <v>91.8</v>
      </c>
      <c r="D15" s="38">
        <v>92</v>
      </c>
      <c r="E15" s="38">
        <v>88.821499999999986</v>
      </c>
      <c r="F15" s="38">
        <v>90.350000000000009</v>
      </c>
      <c r="G15" s="38">
        <v>93.573333333333338</v>
      </c>
      <c r="H15" s="38">
        <v>87.954999999999984</v>
      </c>
      <c r="I15" s="38">
        <v>90.747499999999988</v>
      </c>
      <c r="J15" s="38">
        <v>91.704999999999998</v>
      </c>
      <c r="K15" s="83" t="s">
        <v>81</v>
      </c>
      <c r="L15" s="84"/>
      <c r="M15" s="84"/>
      <c r="N15" s="84"/>
      <c r="O15" s="84"/>
      <c r="P15" s="84"/>
      <c r="Q15" s="84"/>
    </row>
    <row r="16" spans="1:29">
      <c r="A16" s="181" t="s">
        <v>56</v>
      </c>
      <c r="B16" s="19" t="s">
        <v>8</v>
      </c>
      <c r="C16" s="24">
        <v>102.7</v>
      </c>
      <c r="D16" s="24">
        <v>112.71736071047755</v>
      </c>
      <c r="E16" s="24">
        <v>107.02566547494021</v>
      </c>
      <c r="F16" s="24">
        <v>94.979011514013777</v>
      </c>
      <c r="G16" s="24">
        <v>94.244207365766442</v>
      </c>
      <c r="H16" s="24">
        <v>94.658538706684666</v>
      </c>
      <c r="I16" s="24">
        <v>99.070913355610926</v>
      </c>
      <c r="J16" s="24">
        <v>94.631237604991554</v>
      </c>
      <c r="K16" s="80" t="s">
        <v>85</v>
      </c>
      <c r="L16" s="81"/>
      <c r="M16" s="81"/>
      <c r="N16" s="81"/>
      <c r="O16" s="81"/>
      <c r="P16" s="81"/>
      <c r="Q16" s="81"/>
    </row>
    <row r="17" spans="1:29">
      <c r="A17" s="182"/>
      <c r="B17" s="125" t="s">
        <v>134</v>
      </c>
      <c r="C17" s="37">
        <v>67.375</v>
      </c>
      <c r="D17" s="37">
        <v>67.08250000000001</v>
      </c>
      <c r="E17" s="37">
        <v>67.482500000000002</v>
      </c>
      <c r="F17" s="37">
        <v>67.66</v>
      </c>
      <c r="G17" s="37">
        <v>67.644999999999982</v>
      </c>
      <c r="H17" s="37">
        <v>67.717500000000001</v>
      </c>
      <c r="I17" s="37">
        <v>67.742500000000007</v>
      </c>
      <c r="J17" s="37">
        <v>67.655000000000001</v>
      </c>
      <c r="K17" s="85" t="s">
        <v>77</v>
      </c>
      <c r="L17" s="82"/>
      <c r="M17" s="82"/>
      <c r="N17" s="82"/>
      <c r="O17" s="82"/>
      <c r="P17" s="82"/>
      <c r="Q17" s="82"/>
    </row>
    <row r="18" spans="1:29">
      <c r="A18" s="183"/>
      <c r="B18" s="21" t="s">
        <v>10</v>
      </c>
      <c r="C18" s="38">
        <v>68.5</v>
      </c>
      <c r="D18" s="38">
        <v>66.099999999999994</v>
      </c>
      <c r="E18" s="38">
        <v>61.805</v>
      </c>
      <c r="F18" s="38">
        <v>65.273333333333326</v>
      </c>
      <c r="G18" s="38">
        <v>67.716666666666669</v>
      </c>
      <c r="H18" s="38">
        <v>62.192500000000003</v>
      </c>
      <c r="I18" s="38">
        <v>64.792500000000004</v>
      </c>
      <c r="J18" s="38">
        <v>64.585000000000008</v>
      </c>
      <c r="K18" s="83" t="s">
        <v>81</v>
      </c>
      <c r="L18" s="84"/>
      <c r="M18" s="84"/>
      <c r="N18" s="84"/>
      <c r="O18" s="84"/>
      <c r="P18" s="84"/>
      <c r="Q18" s="84"/>
    </row>
    <row r="19" spans="1:29">
      <c r="A19" s="164" t="s">
        <v>74</v>
      </c>
      <c r="B19" s="19" t="s">
        <v>8</v>
      </c>
      <c r="C19" s="24" t="s">
        <v>55</v>
      </c>
      <c r="D19" s="24" t="s">
        <v>55</v>
      </c>
      <c r="E19" s="35" t="s">
        <v>113</v>
      </c>
      <c r="F19" s="35" t="s">
        <v>113</v>
      </c>
      <c r="G19" s="35" t="s">
        <v>113</v>
      </c>
      <c r="H19" s="35" t="s">
        <v>113</v>
      </c>
      <c r="I19" s="35" t="s">
        <v>113</v>
      </c>
      <c r="J19" s="35" t="s">
        <v>113</v>
      </c>
      <c r="K19" s="80" t="s">
        <v>89</v>
      </c>
      <c r="L19" s="81"/>
      <c r="M19" s="81"/>
      <c r="N19" s="81"/>
      <c r="O19" s="81"/>
      <c r="P19" s="81"/>
      <c r="Q19" s="81"/>
    </row>
    <row r="20" spans="1:29">
      <c r="A20" s="165"/>
      <c r="B20" s="125" t="s">
        <v>134</v>
      </c>
      <c r="C20" s="37">
        <v>2.4666666666666686</v>
      </c>
      <c r="D20" s="37">
        <v>2.9174999999999969</v>
      </c>
      <c r="E20" s="37">
        <v>2.5174999999999983</v>
      </c>
      <c r="F20" s="37">
        <v>2.34</v>
      </c>
      <c r="G20" s="37">
        <v>2.355000000000004</v>
      </c>
      <c r="H20" s="37">
        <v>2.2824999999999989</v>
      </c>
      <c r="I20" s="37">
        <v>2.2575000000000003</v>
      </c>
      <c r="J20" s="37">
        <v>2.3449999999999989</v>
      </c>
      <c r="K20" s="85" t="s">
        <v>78</v>
      </c>
      <c r="L20" s="82"/>
      <c r="M20" s="82"/>
      <c r="N20" s="82"/>
      <c r="O20" s="82"/>
      <c r="P20" s="82"/>
      <c r="Q20" s="82"/>
    </row>
    <row r="21" spans="1:29">
      <c r="A21" s="166"/>
      <c r="B21" s="21" t="s">
        <v>10</v>
      </c>
      <c r="C21" s="38">
        <v>4.2</v>
      </c>
      <c r="D21" s="38">
        <v>4</v>
      </c>
      <c r="E21" s="38">
        <v>8.1950000000000003</v>
      </c>
      <c r="F21" s="38">
        <v>4.7266666666666737</v>
      </c>
      <c r="G21" s="38">
        <v>2.2833333333333314</v>
      </c>
      <c r="H21" s="38">
        <v>7.8074999999999974</v>
      </c>
      <c r="I21" s="38">
        <v>5.2074999999999996</v>
      </c>
      <c r="J21" s="38">
        <v>5.4149999999999991</v>
      </c>
      <c r="K21" s="83" t="s">
        <v>79</v>
      </c>
      <c r="L21" s="84"/>
      <c r="M21" s="84"/>
      <c r="N21" s="84"/>
      <c r="O21" s="84"/>
      <c r="P21" s="84"/>
      <c r="Q21" s="84"/>
    </row>
    <row r="22" spans="1:29">
      <c r="A22" s="181" t="s">
        <v>50</v>
      </c>
      <c r="B22" s="19" t="s">
        <v>8</v>
      </c>
      <c r="C22" s="24">
        <v>187.82499999999999</v>
      </c>
      <c r="D22" s="24">
        <v>177.25</v>
      </c>
      <c r="E22" s="24">
        <v>171.67499999999998</v>
      </c>
      <c r="F22" s="24">
        <v>185.01499999999999</v>
      </c>
      <c r="G22" s="24">
        <v>165.6</v>
      </c>
      <c r="H22" s="24">
        <v>180.375</v>
      </c>
      <c r="I22" s="24">
        <v>176.375</v>
      </c>
      <c r="J22" s="24">
        <v>180.2</v>
      </c>
      <c r="K22" s="86" t="s">
        <v>78</v>
      </c>
      <c r="L22" s="81"/>
      <c r="M22" s="81"/>
      <c r="N22" s="81"/>
      <c r="O22" s="81"/>
      <c r="P22" s="81"/>
      <c r="Q22" s="81"/>
    </row>
    <row r="23" spans="1:29">
      <c r="A23" s="182"/>
      <c r="B23" s="125" t="s">
        <v>134</v>
      </c>
      <c r="C23" s="37">
        <v>183.8</v>
      </c>
      <c r="D23" s="37">
        <v>182.57</v>
      </c>
      <c r="E23" s="37">
        <v>178.1225</v>
      </c>
      <c r="F23" s="37">
        <v>187.27250000000001</v>
      </c>
      <c r="G23" s="37">
        <v>174.72749999999999</v>
      </c>
      <c r="H23" s="37">
        <v>181.86750000000001</v>
      </c>
      <c r="I23" s="37">
        <v>177.4325</v>
      </c>
      <c r="J23" s="37">
        <v>181.08500000000001</v>
      </c>
      <c r="K23" s="85" t="s">
        <v>78</v>
      </c>
      <c r="L23" s="82"/>
      <c r="M23" s="82"/>
      <c r="N23" s="82"/>
      <c r="O23" s="82"/>
      <c r="P23" s="82"/>
      <c r="Q23" s="82"/>
    </row>
    <row r="24" spans="1:29">
      <c r="A24" s="183"/>
      <c r="B24" s="21" t="s">
        <v>10</v>
      </c>
      <c r="C24" s="38">
        <v>192.1</v>
      </c>
      <c r="D24" s="38">
        <v>193</v>
      </c>
      <c r="E24" s="38">
        <v>190.82</v>
      </c>
      <c r="F24" s="38">
        <v>196.43666666666664</v>
      </c>
      <c r="G24" s="38">
        <v>171.23</v>
      </c>
      <c r="H24" s="38">
        <v>189.51749999999998</v>
      </c>
      <c r="I24" s="38">
        <v>191.14750000000001</v>
      </c>
      <c r="J24" s="38">
        <v>189.22</v>
      </c>
      <c r="K24" s="83" t="s">
        <v>79</v>
      </c>
      <c r="L24" s="84"/>
      <c r="M24" s="84"/>
      <c r="N24" s="84"/>
      <c r="O24" s="84"/>
      <c r="P24" s="84"/>
      <c r="Q24" s="84"/>
    </row>
    <row r="25" spans="1:29" s="63" customFormat="1">
      <c r="A25" s="176" t="s">
        <v>69</v>
      </c>
      <c r="B25" s="64" t="s">
        <v>53</v>
      </c>
      <c r="C25" s="61">
        <v>0.2</v>
      </c>
      <c r="D25" s="61">
        <v>0.38500000000000006</v>
      </c>
      <c r="E25" s="61">
        <v>0.45</v>
      </c>
      <c r="F25" s="61">
        <v>0.30499999999999999</v>
      </c>
      <c r="G25" s="61">
        <v>0.29249999999999998</v>
      </c>
      <c r="H25" s="61">
        <v>0.21</v>
      </c>
      <c r="I25" s="61">
        <v>0.42249999999999999</v>
      </c>
      <c r="J25" s="61">
        <v>0.27</v>
      </c>
      <c r="K25" s="86" t="s">
        <v>77</v>
      </c>
      <c r="L25" s="81"/>
      <c r="M25" s="81"/>
      <c r="N25" s="81"/>
      <c r="O25" s="81"/>
      <c r="P25" s="81"/>
      <c r="Q25" s="81"/>
    </row>
    <row r="26" spans="1:29" s="63" customFormat="1">
      <c r="A26" s="177"/>
      <c r="B26" s="64" t="s">
        <v>54</v>
      </c>
      <c r="C26" s="61">
        <v>2.04</v>
      </c>
      <c r="D26" s="61">
        <v>3.5874999999999995</v>
      </c>
      <c r="E26" s="61">
        <v>3.9</v>
      </c>
      <c r="F26" s="61">
        <v>2.8525</v>
      </c>
      <c r="G26" s="61">
        <v>3.0150000000000001</v>
      </c>
      <c r="H26" s="61">
        <v>1.7949999999999999</v>
      </c>
      <c r="I26" s="61">
        <v>4.24</v>
      </c>
      <c r="J26" s="61">
        <v>2.4900000000000002</v>
      </c>
      <c r="K26" s="86" t="s">
        <v>78</v>
      </c>
      <c r="L26" s="81"/>
      <c r="M26" s="81"/>
      <c r="N26" s="81"/>
      <c r="O26" s="81"/>
      <c r="P26" s="81"/>
      <c r="Q26" s="81"/>
    </row>
    <row r="30" spans="1:29">
      <c r="C30" s="1"/>
      <c r="D30" s="5"/>
      <c r="N30" s="1"/>
      <c r="O30" s="1"/>
      <c r="Q30" s="1"/>
      <c r="R30" s="1"/>
      <c r="S30" s="1"/>
      <c r="X30" s="1"/>
      <c r="Y30" s="1"/>
      <c r="AA30" s="1"/>
      <c r="AB30" s="1"/>
      <c r="AC30" s="1"/>
    </row>
    <row r="32" spans="1:29" ht="12" customHeight="1">
      <c r="A32" s="13"/>
    </row>
    <row r="33" spans="1:30" ht="13.5" hidden="1" customHeight="1"/>
    <row r="34" spans="1:30" ht="73.5" customHeight="1">
      <c r="A34" s="175" t="s">
        <v>70</v>
      </c>
      <c r="B34" s="175"/>
      <c r="C34" s="10" t="s">
        <v>60</v>
      </c>
      <c r="D34" s="10" t="s">
        <v>61</v>
      </c>
      <c r="E34" s="10" t="s">
        <v>62</v>
      </c>
      <c r="F34" s="10" t="s">
        <v>65</v>
      </c>
      <c r="G34" s="10" t="s">
        <v>63</v>
      </c>
      <c r="H34" s="10" t="s">
        <v>5</v>
      </c>
      <c r="I34" s="79" t="s">
        <v>66</v>
      </c>
      <c r="J34" s="10" t="s">
        <v>64</v>
      </c>
      <c r="K34" s="178" t="s">
        <v>76</v>
      </c>
      <c r="L34" s="179"/>
      <c r="M34" s="179"/>
      <c r="N34" s="179"/>
      <c r="O34" s="179"/>
      <c r="P34" s="179"/>
      <c r="Q34" s="179"/>
    </row>
    <row r="35" spans="1:30">
      <c r="A35" s="148" t="s">
        <v>103</v>
      </c>
      <c r="B35" s="22" t="s">
        <v>8</v>
      </c>
      <c r="C35" s="24">
        <v>29.5</v>
      </c>
      <c r="D35" s="24">
        <v>20.5</v>
      </c>
      <c r="E35" s="24">
        <v>18.192499999999999</v>
      </c>
      <c r="F35" s="24">
        <v>16.895</v>
      </c>
      <c r="G35" s="24">
        <v>18.002499999999998</v>
      </c>
      <c r="H35" s="24">
        <v>16.175000000000001</v>
      </c>
      <c r="I35" s="24">
        <v>20.234999999999999</v>
      </c>
      <c r="J35" s="24">
        <v>68.284999999999997</v>
      </c>
      <c r="K35" s="80" t="s">
        <v>84</v>
      </c>
      <c r="L35" s="81"/>
      <c r="M35" s="81"/>
      <c r="N35" s="81"/>
      <c r="O35" s="81"/>
      <c r="P35" s="81"/>
      <c r="Q35" s="81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1:30">
      <c r="A36" s="148"/>
      <c r="B36" s="125" t="s">
        <v>134</v>
      </c>
      <c r="C36" s="37">
        <v>37.4</v>
      </c>
      <c r="D36" s="37">
        <f>AVERAGE('complete data'!G34:J34)</f>
        <v>55.120000000000005</v>
      </c>
      <c r="E36" s="37">
        <v>51.752499999999998</v>
      </c>
      <c r="F36" s="37">
        <v>49.122500000000002</v>
      </c>
      <c r="G36" s="37">
        <v>56.03</v>
      </c>
      <c r="H36" s="37">
        <v>50.3825</v>
      </c>
      <c r="I36" s="37">
        <v>52.517499999999998</v>
      </c>
      <c r="J36" s="37">
        <v>44.64</v>
      </c>
      <c r="K36" s="85" t="s">
        <v>78</v>
      </c>
      <c r="L36" s="82"/>
      <c r="M36" s="82"/>
      <c r="N36" s="82"/>
      <c r="O36" s="82"/>
      <c r="P36" s="82"/>
      <c r="Q36" s="82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1:30">
      <c r="A37" s="148"/>
      <c r="B37" s="21" t="s">
        <v>10</v>
      </c>
      <c r="C37" s="38">
        <v>14.8</v>
      </c>
      <c r="D37" s="38">
        <v>28.4</v>
      </c>
      <c r="E37" s="38">
        <v>34.271999999999998</v>
      </c>
      <c r="F37" s="38">
        <v>23.68225</v>
      </c>
      <c r="G37" s="38">
        <v>37.235333333333337</v>
      </c>
      <c r="H37" s="38">
        <v>30.773250000000001</v>
      </c>
      <c r="I37" s="38">
        <v>30.727</v>
      </c>
      <c r="J37" s="38">
        <v>20.674999999999997</v>
      </c>
      <c r="K37" s="83" t="s">
        <v>83</v>
      </c>
      <c r="L37" s="84"/>
      <c r="M37" s="84"/>
      <c r="N37" s="84"/>
      <c r="O37" s="84"/>
      <c r="P37" s="84"/>
      <c r="Q37" s="84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spans="1:30">
      <c r="A38" s="148" t="s">
        <v>18</v>
      </c>
      <c r="B38" s="22" t="s">
        <v>8</v>
      </c>
      <c r="C38" s="24">
        <v>23.3</v>
      </c>
      <c r="D38" s="24">
        <v>21.5</v>
      </c>
      <c r="E38" s="24">
        <v>20.907217828468216</v>
      </c>
      <c r="F38" s="24">
        <v>21.402726355067681</v>
      </c>
      <c r="G38" s="24">
        <v>23.386907008400996</v>
      </c>
      <c r="H38" s="24">
        <v>22.63996129144979</v>
      </c>
      <c r="I38" s="24">
        <v>23.943820696010757</v>
      </c>
      <c r="J38" s="24">
        <v>24.05436367255605</v>
      </c>
      <c r="K38" s="80" t="s">
        <v>87</v>
      </c>
      <c r="L38" s="81"/>
      <c r="M38" s="81"/>
      <c r="N38" s="81"/>
      <c r="O38" s="81"/>
      <c r="P38" s="81"/>
      <c r="Q38" s="81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spans="1:30">
      <c r="A39" s="148"/>
      <c r="B39" s="125" t="s">
        <v>134</v>
      </c>
      <c r="C39" s="37">
        <v>17.8</v>
      </c>
      <c r="D39" s="37">
        <v>17.2</v>
      </c>
      <c r="E39" s="37">
        <v>17.515000000000001</v>
      </c>
      <c r="F39" s="37">
        <v>18.102499999999999</v>
      </c>
      <c r="G39" s="37">
        <v>18.082499999999989</v>
      </c>
      <c r="H39" s="37">
        <v>18.440000000000005</v>
      </c>
      <c r="I39" s="37">
        <v>18.494999999999997</v>
      </c>
      <c r="J39" s="37">
        <v>18.965000000000003</v>
      </c>
      <c r="K39" s="85" t="s">
        <v>78</v>
      </c>
      <c r="L39" s="82"/>
      <c r="M39" s="82"/>
      <c r="N39" s="82"/>
      <c r="O39" s="82"/>
      <c r="P39" s="82"/>
      <c r="Q39" s="82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>
      <c r="A40" s="148"/>
      <c r="B40" s="21" t="s">
        <v>10</v>
      </c>
      <c r="C40" s="38">
        <v>24.1</v>
      </c>
      <c r="D40" s="38">
        <v>26</v>
      </c>
      <c r="E40" s="38">
        <v>22.403499999999994</v>
      </c>
      <c r="F40" s="38">
        <v>26.211500000000001</v>
      </c>
      <c r="G40" s="38">
        <v>26.975000000000001</v>
      </c>
      <c r="H40" s="38">
        <v>28.792250000000003</v>
      </c>
      <c r="I40" s="38">
        <v>26.09975</v>
      </c>
      <c r="J40" s="38">
        <v>27.38000000000001</v>
      </c>
      <c r="K40" s="83" t="s">
        <v>80</v>
      </c>
      <c r="L40" s="84"/>
      <c r="M40" s="84"/>
      <c r="N40" s="84"/>
      <c r="O40" s="84"/>
      <c r="P40" s="84"/>
      <c r="Q40" s="84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spans="1:30">
      <c r="A41" s="148" t="s">
        <v>12</v>
      </c>
      <c r="B41" s="22" t="s">
        <v>8</v>
      </c>
      <c r="C41" s="24">
        <v>53.6</v>
      </c>
      <c r="D41" s="24">
        <v>57.6</v>
      </c>
      <c r="E41" s="24">
        <v>56.840745024464162</v>
      </c>
      <c r="F41" s="24">
        <v>56.753526017614753</v>
      </c>
      <c r="G41" s="24">
        <v>53.226464143084101</v>
      </c>
      <c r="H41" s="24">
        <v>58.248821747627986</v>
      </c>
      <c r="I41" s="24">
        <v>56.716234407582014</v>
      </c>
      <c r="J41" s="24">
        <v>47.93335436420827</v>
      </c>
      <c r="K41" s="80" t="s">
        <v>88</v>
      </c>
      <c r="L41" s="81"/>
      <c r="M41" s="81"/>
      <c r="N41" s="81"/>
      <c r="O41" s="81"/>
      <c r="P41" s="81"/>
      <c r="Q41" s="81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>
      <c r="A42" s="148"/>
      <c r="B42" s="125" t="s">
        <v>134</v>
      </c>
      <c r="C42" s="37">
        <v>87</v>
      </c>
      <c r="D42" s="37">
        <v>87.7</v>
      </c>
      <c r="E42" s="37">
        <v>87.83</v>
      </c>
      <c r="F42" s="37">
        <v>87.59</v>
      </c>
      <c r="G42" s="37">
        <v>87.0625</v>
      </c>
      <c r="H42" s="37">
        <v>86.920000000000016</v>
      </c>
      <c r="I42" s="37">
        <v>86.155000000000001</v>
      </c>
      <c r="J42" s="37">
        <v>87.89500000000001</v>
      </c>
      <c r="K42" s="85" t="s">
        <v>78</v>
      </c>
      <c r="L42" s="82"/>
      <c r="M42" s="82"/>
      <c r="N42" s="82"/>
      <c r="O42" s="82"/>
      <c r="P42" s="82"/>
      <c r="Q42" s="82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>
      <c r="A43" s="148"/>
      <c r="B43" s="21" t="s">
        <v>10</v>
      </c>
      <c r="C43" s="38">
        <v>95</v>
      </c>
      <c r="D43" s="38">
        <v>97.1</v>
      </c>
      <c r="E43" s="38">
        <v>97.995000000000005</v>
      </c>
      <c r="F43" s="38">
        <v>95.78725</v>
      </c>
      <c r="G43" s="38">
        <v>98.370499999999993</v>
      </c>
      <c r="H43" s="38">
        <v>100.84500000000001</v>
      </c>
      <c r="I43" s="38">
        <v>94.482500000000016</v>
      </c>
      <c r="J43" s="38">
        <v>97.791499999999999</v>
      </c>
      <c r="K43" s="83" t="s">
        <v>81</v>
      </c>
      <c r="L43" s="84"/>
      <c r="M43" s="84"/>
      <c r="N43" s="84"/>
      <c r="O43" s="84"/>
      <c r="P43" s="84"/>
      <c r="Q43" s="8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>
      <c r="A44" s="148" t="s">
        <v>7</v>
      </c>
      <c r="B44" s="22" t="s">
        <v>8</v>
      </c>
      <c r="C44" s="24">
        <v>103.1</v>
      </c>
      <c r="D44" s="24">
        <v>100.07</v>
      </c>
      <c r="E44" s="24">
        <v>102.25203714706763</v>
      </c>
      <c r="F44" s="24">
        <v>101.84374762731758</v>
      </c>
      <c r="G44" s="42">
        <v>103.3866288485149</v>
      </c>
      <c r="H44" s="24">
        <v>99.111216960922235</v>
      </c>
      <c r="I44" s="24">
        <v>99.339944896407218</v>
      </c>
      <c r="J44" s="24">
        <v>108.01228196323569</v>
      </c>
      <c r="K44" s="80" t="s">
        <v>85</v>
      </c>
      <c r="L44" s="81"/>
      <c r="M44" s="81"/>
      <c r="N44" s="81"/>
      <c r="O44" s="81"/>
      <c r="P44" s="81"/>
      <c r="Q44" s="81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1:30">
      <c r="A45" s="148"/>
      <c r="B45" s="125" t="s">
        <v>134</v>
      </c>
      <c r="C45" s="37">
        <v>74.8</v>
      </c>
      <c r="D45" s="37">
        <v>74.8</v>
      </c>
      <c r="E45" s="37">
        <v>74.627499999999998</v>
      </c>
      <c r="F45" s="37">
        <v>74.459999999999994</v>
      </c>
      <c r="G45" s="37">
        <v>75</v>
      </c>
      <c r="H45" s="37">
        <v>74.747500000000002</v>
      </c>
      <c r="I45" s="37">
        <v>75.162500000000009</v>
      </c>
      <c r="J45" s="37">
        <v>73.990000000000009</v>
      </c>
      <c r="K45" s="85" t="s">
        <v>77</v>
      </c>
      <c r="L45" s="82"/>
      <c r="M45" s="82"/>
      <c r="N45" s="82"/>
      <c r="O45" s="82"/>
      <c r="P45" s="82"/>
      <c r="Q45" s="82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1:30">
      <c r="A46" s="148"/>
      <c r="B46" s="21" t="s">
        <v>10</v>
      </c>
      <c r="C46" s="38">
        <v>71.099999999999994</v>
      </c>
      <c r="D46" s="38">
        <v>69.900000000000006</v>
      </c>
      <c r="E46" s="38">
        <v>75.178750000000008</v>
      </c>
      <c r="F46" s="38">
        <v>69.337500000000006</v>
      </c>
      <c r="G46" s="38">
        <v>70.799750000000003</v>
      </c>
      <c r="H46" s="38">
        <v>72.539999999999992</v>
      </c>
      <c r="I46" s="38">
        <v>69.402499999999989</v>
      </c>
      <c r="J46" s="38">
        <v>69.655000000000001</v>
      </c>
      <c r="K46" s="83" t="s">
        <v>81</v>
      </c>
      <c r="L46" s="84"/>
      <c r="M46" s="84"/>
      <c r="N46" s="84"/>
      <c r="O46" s="84"/>
      <c r="P46" s="84"/>
      <c r="Q46" s="8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1:30">
      <c r="A47" s="149" t="s">
        <v>160</v>
      </c>
      <c r="B47" s="22" t="s">
        <v>8</v>
      </c>
      <c r="C47" s="35" t="s">
        <v>91</v>
      </c>
      <c r="D47" s="35" t="s">
        <v>90</v>
      </c>
      <c r="E47" s="35" t="s">
        <v>113</v>
      </c>
      <c r="F47" s="35" t="s">
        <v>113</v>
      </c>
      <c r="G47" s="35" t="s">
        <v>113</v>
      </c>
      <c r="H47" s="35" t="s">
        <v>113</v>
      </c>
      <c r="I47" s="35" t="s">
        <v>113</v>
      </c>
      <c r="J47" s="35" t="s">
        <v>113</v>
      </c>
      <c r="K47" s="80" t="s">
        <v>89</v>
      </c>
      <c r="L47" s="81"/>
      <c r="M47" s="81"/>
      <c r="N47" s="81"/>
      <c r="O47" s="81"/>
      <c r="P47" s="81"/>
      <c r="Q47" s="81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1:30">
      <c r="A48" s="150"/>
      <c r="B48" s="125" t="s">
        <v>134</v>
      </c>
      <c r="C48" s="37">
        <f>90-(C45+12)</f>
        <v>3.2000000000000028</v>
      </c>
      <c r="D48" s="37">
        <f>90-(D45+12)</f>
        <v>3.2000000000000028</v>
      </c>
      <c r="E48" s="37">
        <v>3.3724999999999987</v>
      </c>
      <c r="F48" s="37">
        <v>3.5400000000000027</v>
      </c>
      <c r="G48" s="37">
        <v>2.9999999999999964</v>
      </c>
      <c r="H48" s="37">
        <v>3.2525000000000013</v>
      </c>
      <c r="I48" s="37">
        <v>2.8374999999999986</v>
      </c>
      <c r="J48" s="37">
        <v>4.009999999999998</v>
      </c>
      <c r="K48" s="85" t="s">
        <v>78</v>
      </c>
      <c r="L48" s="82"/>
      <c r="M48" s="82"/>
      <c r="N48" s="82"/>
      <c r="O48" s="82"/>
      <c r="P48" s="82"/>
      <c r="Q48" s="82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spans="1:30">
      <c r="A49" s="151"/>
      <c r="B49" s="21" t="s">
        <v>10</v>
      </c>
      <c r="C49" s="38">
        <v>6.9</v>
      </c>
      <c r="D49" s="38">
        <v>8.1</v>
      </c>
      <c r="E49" s="38">
        <v>2.8212499999999991</v>
      </c>
      <c r="F49" s="38">
        <v>8.6624999999999979</v>
      </c>
      <c r="G49" s="38">
        <v>7.2002500000000005</v>
      </c>
      <c r="H49" s="38">
        <v>5.4600000000000009</v>
      </c>
      <c r="I49" s="38">
        <v>8.5975000000000001</v>
      </c>
      <c r="J49" s="38">
        <v>8.345000000000006</v>
      </c>
      <c r="K49" s="83" t="s">
        <v>82</v>
      </c>
      <c r="L49" s="84"/>
      <c r="M49" s="84"/>
      <c r="N49" s="84"/>
      <c r="O49" s="84"/>
      <c r="P49" s="84"/>
      <c r="Q49" s="8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spans="1:30">
      <c r="A50" s="149" t="s">
        <v>73</v>
      </c>
      <c r="B50" s="22" t="s">
        <v>8</v>
      </c>
      <c r="C50" s="35">
        <v>95.7</v>
      </c>
      <c r="D50" s="35">
        <v>87.7</v>
      </c>
      <c r="E50" s="35">
        <v>82.25</v>
      </c>
      <c r="F50" s="35">
        <v>92.3</v>
      </c>
      <c r="G50" s="35">
        <v>79.2</v>
      </c>
      <c r="H50" s="35">
        <v>90.85</v>
      </c>
      <c r="I50" s="35">
        <v>84.649999999999991</v>
      </c>
      <c r="J50" s="35">
        <v>83.4</v>
      </c>
      <c r="K50" s="80" t="s">
        <v>86</v>
      </c>
      <c r="L50" s="81"/>
      <c r="M50" s="81"/>
      <c r="N50" s="81"/>
      <c r="O50" s="81"/>
      <c r="P50" s="81"/>
      <c r="Q50" s="81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1:30">
      <c r="A51" s="150" t="s">
        <v>50</v>
      </c>
      <c r="B51" s="125" t="s">
        <v>134</v>
      </c>
      <c r="C51" s="37">
        <v>88.293333333333337</v>
      </c>
      <c r="D51" s="37">
        <v>89.9</v>
      </c>
      <c r="E51" s="37">
        <v>80.797499999999999</v>
      </c>
      <c r="F51" s="37">
        <v>88.112499999999997</v>
      </c>
      <c r="G51" s="37">
        <v>80.38</v>
      </c>
      <c r="H51" s="37">
        <v>84</v>
      </c>
      <c r="I51" s="37">
        <v>85.577500000000001</v>
      </c>
      <c r="J51" s="37">
        <v>76.63</v>
      </c>
      <c r="K51" s="85" t="s">
        <v>78</v>
      </c>
      <c r="L51" s="82"/>
      <c r="M51" s="82"/>
      <c r="N51" s="82"/>
      <c r="O51" s="82"/>
      <c r="P51" s="82"/>
      <c r="Q51" s="82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spans="1:30">
      <c r="A52" s="151"/>
      <c r="B52" s="21" t="s">
        <v>10</v>
      </c>
      <c r="C52" s="38">
        <v>102.03333333333335</v>
      </c>
      <c r="D52" s="38">
        <v>101.4</v>
      </c>
      <c r="E52" s="38">
        <v>90.956500000000005</v>
      </c>
      <c r="F52" s="38">
        <v>91.317000000000007</v>
      </c>
      <c r="G52" s="38">
        <v>80.820000000000007</v>
      </c>
      <c r="H52" s="38">
        <v>87.334999999999994</v>
      </c>
      <c r="I52" s="38">
        <v>88.527500000000003</v>
      </c>
      <c r="J52" s="38">
        <v>86.204999999999998</v>
      </c>
      <c r="K52" s="83" t="s">
        <v>79</v>
      </c>
      <c r="L52" s="84"/>
      <c r="M52" s="84"/>
      <c r="N52" s="84"/>
      <c r="O52" s="84"/>
      <c r="P52" s="84"/>
      <c r="Q52" s="8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1:30" s="63" customFormat="1">
      <c r="A53" s="59" t="s">
        <v>52</v>
      </c>
      <c r="B53" s="33" t="s">
        <v>53</v>
      </c>
      <c r="C53" s="61">
        <v>0.12666666666666668</v>
      </c>
      <c r="D53" s="61">
        <v>0.21</v>
      </c>
      <c r="E53" s="61">
        <v>0.29250000000000004</v>
      </c>
      <c r="F53" s="61">
        <v>0.375</v>
      </c>
      <c r="G53" s="61">
        <v>0.2475</v>
      </c>
      <c r="H53" s="61">
        <v>0.375</v>
      </c>
      <c r="I53" s="61">
        <v>0.375</v>
      </c>
      <c r="J53" s="61">
        <v>0.3</v>
      </c>
      <c r="K53" s="86" t="s">
        <v>77</v>
      </c>
      <c r="L53" s="81"/>
      <c r="M53" s="81"/>
      <c r="N53" s="81"/>
      <c r="O53" s="81"/>
      <c r="P53" s="81"/>
      <c r="Q53" s="81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spans="1:30" s="63" customFormat="1">
      <c r="A54" s="60"/>
      <c r="B54" s="33" t="s">
        <v>54</v>
      </c>
      <c r="C54" s="61">
        <v>1.2</v>
      </c>
      <c r="D54" s="61">
        <v>2.06</v>
      </c>
      <c r="E54" s="61">
        <v>2.4275000000000002</v>
      </c>
      <c r="F54" s="61">
        <v>3.3499999999999996</v>
      </c>
      <c r="G54" s="61">
        <v>2.1475</v>
      </c>
      <c r="H54" s="61">
        <v>3.3250000000000002</v>
      </c>
      <c r="I54" s="61">
        <v>4.1000000000000005</v>
      </c>
      <c r="J54" s="61">
        <v>2.5</v>
      </c>
      <c r="K54" s="86" t="s">
        <v>78</v>
      </c>
      <c r="L54" s="81"/>
      <c r="M54" s="81"/>
      <c r="N54" s="81"/>
      <c r="O54" s="81"/>
      <c r="P54" s="81"/>
      <c r="Q54" s="81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spans="1:30" ht="16.5">
      <c r="A55" s="40"/>
      <c r="B55" s="39"/>
      <c r="C55" s="41"/>
      <c r="D55" s="41"/>
      <c r="E55" s="41"/>
      <c r="F55" s="41"/>
      <c r="G55" s="41"/>
      <c r="H55" s="41"/>
      <c r="I55" s="41"/>
      <c r="J55" s="41"/>
      <c r="K55" s="78"/>
    </row>
    <row r="56" spans="1:30" ht="16.5">
      <c r="A56" s="40"/>
      <c r="B56" s="39"/>
      <c r="C56" s="41"/>
      <c r="D56" s="41"/>
      <c r="E56" s="41"/>
      <c r="F56" s="41"/>
      <c r="G56" s="41"/>
      <c r="H56" s="41"/>
      <c r="I56" s="41"/>
      <c r="J56" s="41"/>
    </row>
    <row r="57" spans="1:30">
      <c r="A57" s="40"/>
      <c r="B57" s="39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</row>
    <row r="58" spans="1:30">
      <c r="A58" s="40"/>
      <c r="B58" s="39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</row>
    <row r="59" spans="1:30">
      <c r="A59" s="40"/>
      <c r="B59" s="39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</row>
    <row r="60" spans="1:30">
      <c r="A60" s="40"/>
      <c r="B60" s="39"/>
      <c r="C60" s="98"/>
      <c r="D60" s="15"/>
      <c r="E60" s="15"/>
      <c r="F60" s="99"/>
      <c r="G60" s="15"/>
      <c r="H60" s="98"/>
      <c r="I60" s="98"/>
      <c r="J60" s="15"/>
      <c r="K60" s="98"/>
      <c r="L60" s="98"/>
      <c r="M60" s="98"/>
      <c r="N60" s="98"/>
      <c r="O60" s="98"/>
      <c r="P60" s="98"/>
      <c r="Q60" s="98"/>
    </row>
    <row r="61" spans="1:30" ht="15" customHeight="1">
      <c r="K61" s="98"/>
      <c r="L61" s="98"/>
      <c r="M61" s="98"/>
      <c r="N61" s="98"/>
      <c r="O61" s="98"/>
      <c r="P61" s="98"/>
      <c r="Q61" s="98"/>
    </row>
    <row r="62" spans="1:30" ht="15" customHeight="1">
      <c r="K62" s="98"/>
      <c r="L62" s="98"/>
      <c r="M62" s="98"/>
      <c r="N62" s="98"/>
      <c r="O62" s="98"/>
      <c r="P62" s="98"/>
      <c r="Q62" s="98"/>
    </row>
    <row r="63" spans="1:30">
      <c r="K63" s="98"/>
      <c r="L63" s="98"/>
      <c r="M63" s="98"/>
      <c r="N63" s="98"/>
      <c r="O63" s="98"/>
      <c r="P63" s="98"/>
      <c r="Q63" s="98"/>
    </row>
    <row r="64" spans="1:30">
      <c r="K64" s="98"/>
      <c r="L64" s="98"/>
      <c r="M64" s="98"/>
      <c r="N64" s="98"/>
      <c r="O64" s="98"/>
      <c r="P64" s="98"/>
      <c r="Q64" s="98"/>
    </row>
    <row r="65" spans="11:17">
      <c r="K65" s="98"/>
      <c r="L65" s="98"/>
      <c r="M65" s="98"/>
      <c r="N65" s="98"/>
      <c r="O65" s="98"/>
      <c r="P65" s="98"/>
      <c r="Q65" s="98"/>
    </row>
    <row r="66" spans="11:17">
      <c r="K66" s="98"/>
      <c r="L66" s="98"/>
      <c r="M66" s="98"/>
      <c r="N66" s="98"/>
      <c r="O66" s="98"/>
      <c r="P66" s="98"/>
      <c r="Q66" s="98"/>
    </row>
    <row r="67" spans="11:17">
      <c r="K67" s="98"/>
      <c r="L67" s="98"/>
      <c r="M67" s="98"/>
      <c r="N67" s="98"/>
      <c r="O67" s="98"/>
      <c r="P67" s="98"/>
      <c r="Q67" s="98"/>
    </row>
    <row r="68" spans="11:17">
      <c r="K68" s="98"/>
      <c r="L68" s="98"/>
      <c r="M68" s="98"/>
      <c r="N68" s="98"/>
      <c r="O68" s="98"/>
      <c r="P68" s="98"/>
      <c r="Q68" s="98"/>
    </row>
    <row r="69" spans="11:17">
      <c r="K69" s="98"/>
      <c r="L69" s="98"/>
      <c r="M69" s="98"/>
      <c r="N69" s="98"/>
      <c r="O69" s="98"/>
      <c r="P69" s="98"/>
      <c r="Q69" s="98"/>
    </row>
    <row r="70" spans="11:17">
      <c r="K70" s="98"/>
      <c r="L70" s="98"/>
      <c r="M70" s="98"/>
      <c r="N70" s="98"/>
      <c r="O70" s="98"/>
      <c r="P70" s="98"/>
      <c r="Q70" s="98"/>
    </row>
    <row r="71" spans="11:17">
      <c r="K71" s="98"/>
      <c r="L71" s="98"/>
      <c r="M71" s="98"/>
      <c r="N71" s="98"/>
      <c r="O71" s="98"/>
      <c r="P71" s="98"/>
      <c r="Q71" s="98"/>
    </row>
    <row r="72" spans="11:17">
      <c r="K72" s="98"/>
      <c r="L72" s="98"/>
      <c r="M72" s="98"/>
      <c r="N72" s="98"/>
      <c r="O72" s="98"/>
      <c r="P72" s="98"/>
      <c r="Q72" s="98"/>
    </row>
    <row r="73" spans="11:17">
      <c r="K73" s="98"/>
      <c r="L73" s="98"/>
      <c r="M73" s="98"/>
      <c r="N73" s="98"/>
      <c r="O73" s="98"/>
      <c r="P73" s="98"/>
      <c r="Q73" s="98"/>
    </row>
    <row r="74" spans="11:17" ht="15" customHeight="1">
      <c r="K74" s="98"/>
      <c r="L74" s="98"/>
      <c r="M74" s="98"/>
      <c r="N74" s="98"/>
      <c r="O74" s="98"/>
      <c r="P74" s="98"/>
      <c r="Q74" s="98"/>
    </row>
    <row r="75" spans="11:17">
      <c r="K75" s="98"/>
      <c r="L75" s="98"/>
      <c r="M75" s="98"/>
      <c r="N75" s="98"/>
      <c r="O75" s="98"/>
      <c r="P75" s="98"/>
      <c r="Q75" s="98"/>
    </row>
    <row r="76" spans="11:17">
      <c r="K76" s="98"/>
      <c r="L76" s="98"/>
      <c r="M76" s="98"/>
      <c r="N76" s="98"/>
      <c r="O76" s="98"/>
      <c r="P76" s="98"/>
      <c r="Q76" s="98"/>
    </row>
    <row r="77" spans="11:17">
      <c r="K77" s="98"/>
      <c r="L77" s="98"/>
      <c r="M77" s="98"/>
      <c r="N77" s="98"/>
      <c r="O77" s="98"/>
      <c r="P77" s="98"/>
      <c r="Q77" s="98"/>
    </row>
    <row r="78" spans="11:17">
      <c r="K78" s="98"/>
      <c r="L78" s="98"/>
      <c r="M78" s="98"/>
      <c r="N78" s="98"/>
      <c r="O78" s="98"/>
      <c r="P78" s="98"/>
      <c r="Q78" s="98"/>
    </row>
    <row r="79" spans="11:17">
      <c r="K79" s="98"/>
      <c r="L79" s="98"/>
      <c r="M79" s="98"/>
      <c r="N79" s="98"/>
      <c r="O79" s="98"/>
      <c r="P79" s="98"/>
      <c r="Q79" s="98"/>
    </row>
    <row r="80" spans="11:17">
      <c r="K80" s="98"/>
      <c r="L80" s="98"/>
      <c r="M80" s="98"/>
      <c r="N80" s="98"/>
      <c r="O80" s="98"/>
      <c r="P80" s="98"/>
      <c r="Q80" s="98"/>
    </row>
    <row r="81" spans="2:17">
      <c r="K81" s="98"/>
      <c r="L81" s="98"/>
      <c r="M81" s="98"/>
      <c r="N81" s="98"/>
      <c r="O81" s="98"/>
      <c r="P81" s="98"/>
      <c r="Q81" s="98"/>
    </row>
    <row r="82" spans="2:17">
      <c r="B82" s="100"/>
      <c r="C82" s="97"/>
      <c r="D82" s="97"/>
      <c r="E82" s="97"/>
      <c r="F82" s="98"/>
      <c r="G82" s="97"/>
      <c r="H82" s="98"/>
      <c r="I82" s="98"/>
      <c r="J82" s="15"/>
      <c r="K82" s="98"/>
      <c r="L82" s="98"/>
      <c r="M82" s="98"/>
      <c r="N82" s="98"/>
      <c r="O82" s="98"/>
      <c r="P82" s="98"/>
      <c r="Q82" s="98"/>
    </row>
    <row r="83" spans="2:17">
      <c r="B83" s="100"/>
      <c r="C83" s="97"/>
      <c r="D83" s="97"/>
      <c r="E83" s="97"/>
      <c r="F83" s="98"/>
      <c r="G83" s="97"/>
      <c r="H83" s="98"/>
      <c r="I83" s="98"/>
      <c r="J83" s="98"/>
      <c r="K83" s="98"/>
      <c r="L83" s="98"/>
      <c r="M83" s="98"/>
      <c r="N83" s="98"/>
      <c r="O83" s="98"/>
      <c r="P83" s="98"/>
      <c r="Q83" s="98"/>
    </row>
    <row r="84" spans="2:17">
      <c r="B84" s="100"/>
      <c r="C84" s="102"/>
      <c r="D84" s="102"/>
      <c r="E84" s="102"/>
      <c r="F84" s="98"/>
      <c r="G84" s="102"/>
      <c r="H84" s="98"/>
      <c r="I84" s="98"/>
      <c r="J84" s="98"/>
      <c r="K84" s="98"/>
      <c r="L84" s="98"/>
      <c r="M84" s="98"/>
      <c r="N84" s="98"/>
      <c r="O84" s="98"/>
      <c r="P84" s="98"/>
      <c r="Q84" s="98"/>
    </row>
    <row r="85" spans="2:17">
      <c r="B85" s="100"/>
      <c r="C85" s="102"/>
      <c r="D85" s="102"/>
      <c r="E85" s="102"/>
      <c r="F85" s="98"/>
      <c r="G85" s="102"/>
      <c r="H85" s="98"/>
      <c r="I85" s="98"/>
      <c r="J85" s="98"/>
      <c r="K85" s="98"/>
      <c r="L85" s="98"/>
      <c r="M85" s="98"/>
      <c r="N85" s="98"/>
      <c r="O85" s="98"/>
      <c r="P85" s="98"/>
      <c r="Q85" s="98"/>
    </row>
    <row r="86" spans="2:17">
      <c r="B86" s="100"/>
      <c r="C86" s="103"/>
      <c r="D86" s="100"/>
      <c r="E86" s="100"/>
      <c r="F86" s="98"/>
      <c r="G86" s="100"/>
      <c r="H86" s="98"/>
      <c r="I86" s="98"/>
      <c r="J86" s="98"/>
      <c r="K86" s="98"/>
      <c r="L86" s="98"/>
      <c r="M86" s="98"/>
      <c r="N86" s="98"/>
      <c r="O86" s="98"/>
      <c r="P86" s="98"/>
      <c r="Q86" s="98"/>
    </row>
    <row r="87" spans="2:17">
      <c r="B87" s="100"/>
      <c r="C87" s="100"/>
      <c r="D87" s="100"/>
      <c r="E87" s="100"/>
      <c r="F87" s="98"/>
      <c r="G87" s="100"/>
      <c r="H87" s="98"/>
      <c r="I87" s="98"/>
      <c r="J87" s="98"/>
      <c r="K87" s="98"/>
      <c r="L87" s="98"/>
      <c r="M87" s="98"/>
      <c r="N87" s="98"/>
      <c r="O87" s="98"/>
      <c r="P87" s="98"/>
      <c r="Q87" s="98"/>
    </row>
    <row r="88" spans="2:17">
      <c r="B88" s="100"/>
      <c r="C88" s="100"/>
      <c r="D88" s="100"/>
      <c r="E88" s="100"/>
      <c r="F88" s="98"/>
      <c r="G88" s="100"/>
      <c r="H88" s="98"/>
      <c r="I88" s="98"/>
      <c r="J88" s="98"/>
      <c r="K88" s="98"/>
      <c r="L88" s="98"/>
      <c r="M88" s="98"/>
      <c r="N88" s="98"/>
      <c r="O88" s="98"/>
      <c r="P88" s="98"/>
      <c r="Q88" s="98"/>
    </row>
    <row r="89" spans="2:17" ht="13.5" customHeight="1">
      <c r="B89" s="100"/>
      <c r="C89" s="116"/>
      <c r="D89" s="116"/>
      <c r="E89" s="116"/>
      <c r="F89" s="98"/>
      <c r="G89" s="116"/>
      <c r="H89" s="98"/>
      <c r="I89" s="98"/>
      <c r="J89" s="98"/>
      <c r="K89" s="98"/>
      <c r="L89" s="98"/>
      <c r="M89" s="98"/>
      <c r="N89" s="98"/>
      <c r="O89" s="98"/>
      <c r="P89" s="98"/>
      <c r="Q89" s="98"/>
    </row>
    <row r="90" spans="2:17">
      <c r="B90" s="100"/>
      <c r="C90" s="101"/>
      <c r="D90" s="101"/>
      <c r="E90" s="101"/>
      <c r="F90" s="98"/>
      <c r="G90" s="101"/>
      <c r="H90" s="98"/>
      <c r="I90" s="98"/>
      <c r="J90" s="98"/>
      <c r="K90" s="98"/>
      <c r="L90" s="98"/>
      <c r="M90" s="98"/>
      <c r="N90" s="98"/>
      <c r="O90" s="98"/>
      <c r="P90" s="98"/>
      <c r="Q90" s="98"/>
    </row>
    <row r="91" spans="2:17">
      <c r="B91" s="100"/>
      <c r="C91" s="15"/>
      <c r="D91" s="15"/>
      <c r="E91" s="15"/>
      <c r="F91" s="98"/>
      <c r="G91" s="15"/>
      <c r="H91" s="98"/>
      <c r="I91" s="98"/>
      <c r="J91" s="99"/>
      <c r="K91" s="98"/>
      <c r="L91" s="98"/>
      <c r="M91" s="98"/>
      <c r="N91" s="98"/>
      <c r="O91" s="98"/>
      <c r="P91" s="98"/>
      <c r="Q91" s="98"/>
    </row>
    <row r="92" spans="2:17">
      <c r="B92" s="100"/>
      <c r="C92" s="16"/>
      <c r="D92" s="16"/>
      <c r="E92" s="16"/>
      <c r="F92" s="98"/>
      <c r="G92" s="16"/>
      <c r="H92" s="98"/>
      <c r="I92" s="98"/>
      <c r="J92" s="99"/>
      <c r="K92" s="98"/>
      <c r="L92" s="98"/>
      <c r="M92" s="98"/>
      <c r="N92" s="98"/>
      <c r="O92" s="98"/>
      <c r="P92" s="98"/>
      <c r="Q92" s="98"/>
    </row>
    <row r="93" spans="2:17">
      <c r="B93" s="100"/>
      <c r="C93" s="15"/>
      <c r="D93" s="15"/>
      <c r="E93" s="15"/>
      <c r="F93" s="98"/>
      <c r="G93" s="15"/>
      <c r="H93" s="98"/>
      <c r="I93" s="98"/>
      <c r="J93" s="99"/>
      <c r="K93" s="98"/>
      <c r="L93" s="98"/>
      <c r="M93" s="98"/>
      <c r="N93" s="98"/>
      <c r="O93" s="98"/>
      <c r="P93" s="98"/>
      <c r="Q93" s="98"/>
    </row>
    <row r="94" spans="2:17">
      <c r="B94" s="100"/>
      <c r="C94" s="15"/>
      <c r="D94" s="15"/>
      <c r="E94" s="15"/>
      <c r="F94" s="98"/>
      <c r="G94" s="15"/>
      <c r="H94" s="98"/>
      <c r="I94" s="98"/>
      <c r="J94" s="99"/>
      <c r="K94" s="98"/>
      <c r="L94" s="98"/>
      <c r="M94" s="98"/>
      <c r="N94" s="98"/>
      <c r="O94" s="98"/>
      <c r="P94" s="98"/>
      <c r="Q94" s="98"/>
    </row>
    <row r="95" spans="2:17">
      <c r="B95" s="100"/>
      <c r="C95" s="16"/>
      <c r="D95" s="16"/>
      <c r="E95" s="16"/>
      <c r="F95" s="98"/>
      <c r="G95" s="16"/>
      <c r="H95" s="98"/>
      <c r="I95" s="98"/>
      <c r="J95" s="99"/>
      <c r="K95" s="98"/>
      <c r="L95" s="98"/>
      <c r="M95" s="98"/>
      <c r="N95" s="98"/>
      <c r="O95" s="98"/>
      <c r="P95" s="98"/>
      <c r="Q95" s="98"/>
    </row>
    <row r="96" spans="2:17">
      <c r="B96" s="100"/>
      <c r="C96" s="15"/>
      <c r="D96" s="15"/>
      <c r="E96" s="15"/>
      <c r="F96" s="98"/>
      <c r="G96" s="15"/>
      <c r="H96" s="98"/>
      <c r="I96" s="98"/>
      <c r="J96" s="99"/>
      <c r="K96" s="98"/>
      <c r="L96" s="98"/>
      <c r="M96" s="98"/>
      <c r="N96" s="98"/>
      <c r="O96" s="98"/>
      <c r="P96" s="98"/>
      <c r="Q96" s="98"/>
    </row>
    <row r="97" spans="2:17">
      <c r="B97" s="100"/>
      <c r="C97" s="15"/>
      <c r="D97" s="15"/>
      <c r="E97" s="15"/>
      <c r="F97" s="98"/>
      <c r="G97" s="15"/>
      <c r="H97" s="98"/>
      <c r="I97" s="98"/>
      <c r="J97" s="99"/>
      <c r="K97" s="98"/>
      <c r="L97" s="98"/>
      <c r="M97" s="98"/>
      <c r="N97" s="98"/>
      <c r="O97" s="98"/>
      <c r="P97" s="98"/>
      <c r="Q97" s="98"/>
    </row>
    <row r="98" spans="2:17">
      <c r="B98" s="100"/>
      <c r="C98" s="16"/>
      <c r="D98" s="16"/>
      <c r="E98" s="16"/>
      <c r="F98" s="98"/>
      <c r="G98" s="16"/>
      <c r="H98" s="98"/>
      <c r="I98" s="98"/>
      <c r="J98" s="99"/>
      <c r="K98" s="98"/>
      <c r="L98" s="98"/>
      <c r="M98" s="98"/>
      <c r="N98" s="98"/>
      <c r="O98" s="98"/>
      <c r="P98" s="98"/>
      <c r="Q98" s="98"/>
    </row>
    <row r="99" spans="2:17">
      <c r="B99" s="100"/>
      <c r="C99" s="15"/>
      <c r="D99" s="15"/>
      <c r="E99" s="15"/>
      <c r="F99" s="98"/>
      <c r="G99" s="15"/>
      <c r="H99" s="98"/>
      <c r="I99" s="98"/>
      <c r="J99" s="99"/>
      <c r="K99" s="98"/>
      <c r="L99" s="98"/>
      <c r="M99" s="98"/>
      <c r="N99" s="98"/>
      <c r="O99" s="98"/>
      <c r="P99" s="98"/>
      <c r="Q99" s="98"/>
    </row>
    <row r="100" spans="2:17">
      <c r="B100" s="100"/>
      <c r="C100" s="15"/>
      <c r="D100" s="15"/>
      <c r="E100" s="15"/>
      <c r="F100" s="98"/>
      <c r="G100" s="15"/>
      <c r="H100" s="98"/>
      <c r="I100" s="98"/>
      <c r="J100" s="99"/>
      <c r="K100" s="98"/>
      <c r="L100" s="98"/>
      <c r="M100" s="98"/>
      <c r="N100" s="98"/>
      <c r="O100" s="98"/>
      <c r="P100" s="98"/>
      <c r="Q100" s="98"/>
    </row>
    <row r="101" spans="2:17">
      <c r="B101" s="100"/>
      <c r="C101" s="16"/>
      <c r="D101" s="16"/>
      <c r="E101" s="16"/>
      <c r="F101" s="98"/>
      <c r="G101" s="16"/>
      <c r="H101" s="98"/>
      <c r="I101" s="98"/>
      <c r="J101" s="99"/>
      <c r="K101" s="98"/>
      <c r="L101" s="98"/>
      <c r="M101" s="98"/>
      <c r="N101" s="98"/>
      <c r="O101" s="98"/>
      <c r="P101" s="98"/>
      <c r="Q101" s="98"/>
    </row>
    <row r="102" spans="2:17">
      <c r="B102" s="100"/>
      <c r="C102" s="15"/>
      <c r="D102" s="15"/>
      <c r="E102" s="15"/>
      <c r="F102" s="98"/>
      <c r="G102" s="15"/>
      <c r="H102" s="98"/>
      <c r="I102" s="98"/>
      <c r="J102" s="99"/>
      <c r="K102" s="98"/>
      <c r="L102" s="98"/>
      <c r="M102" s="98"/>
      <c r="N102" s="98"/>
      <c r="O102" s="98"/>
      <c r="P102" s="98"/>
      <c r="Q102" s="98"/>
    </row>
    <row r="103" spans="2:17">
      <c r="B103" s="100"/>
      <c r="C103" s="96"/>
      <c r="D103" s="96"/>
      <c r="E103" s="96"/>
      <c r="F103" s="98"/>
      <c r="G103" s="96"/>
      <c r="H103" s="98"/>
      <c r="I103" s="98"/>
      <c r="J103" s="99"/>
      <c r="K103" s="98"/>
      <c r="L103" s="98"/>
      <c r="M103" s="98"/>
      <c r="N103" s="98"/>
      <c r="O103" s="98"/>
      <c r="P103" s="98"/>
      <c r="Q103" s="98"/>
    </row>
    <row r="104" spans="2:17">
      <c r="B104" s="100"/>
      <c r="C104" s="16"/>
      <c r="D104" s="16"/>
      <c r="E104" s="16"/>
      <c r="F104" s="98"/>
      <c r="G104" s="16"/>
      <c r="H104" s="98"/>
      <c r="I104" s="98"/>
      <c r="J104" s="99"/>
      <c r="K104" s="98"/>
      <c r="L104" s="98"/>
      <c r="M104" s="98"/>
      <c r="N104" s="98"/>
      <c r="O104" s="98"/>
      <c r="P104" s="98"/>
      <c r="Q104" s="98"/>
    </row>
    <row r="105" spans="2:17">
      <c r="B105" s="100"/>
      <c r="C105" s="15"/>
      <c r="D105" s="15"/>
      <c r="E105" s="15"/>
      <c r="F105" s="98"/>
      <c r="G105" s="15"/>
      <c r="H105" s="98"/>
      <c r="I105" s="98"/>
      <c r="J105" s="99"/>
      <c r="K105" s="98"/>
      <c r="L105" s="98"/>
      <c r="M105" s="98"/>
      <c r="N105" s="98"/>
      <c r="O105" s="98"/>
      <c r="P105" s="98"/>
      <c r="Q105" s="98"/>
    </row>
    <row r="106" spans="2:17">
      <c r="B106" s="100"/>
      <c r="C106" s="15"/>
      <c r="D106" s="15"/>
      <c r="E106" s="15"/>
      <c r="F106" s="98"/>
      <c r="G106" s="15"/>
      <c r="H106" s="98"/>
      <c r="I106" s="98"/>
      <c r="J106" s="99"/>
      <c r="K106" s="98"/>
      <c r="L106" s="98"/>
      <c r="M106" s="98"/>
      <c r="N106" s="98"/>
      <c r="O106" s="98"/>
      <c r="P106" s="98"/>
      <c r="Q106" s="98"/>
    </row>
    <row r="107" spans="2:17">
      <c r="B107" s="100"/>
      <c r="C107" s="16"/>
      <c r="D107" s="16"/>
      <c r="E107" s="16"/>
      <c r="F107" s="98"/>
      <c r="G107" s="16"/>
      <c r="H107" s="98"/>
      <c r="I107" s="98"/>
      <c r="J107" s="99"/>
      <c r="K107" s="98"/>
      <c r="L107" s="98"/>
      <c r="M107" s="98"/>
      <c r="N107" s="98"/>
      <c r="O107" s="98"/>
      <c r="P107" s="98"/>
      <c r="Q107" s="98"/>
    </row>
    <row r="108" spans="2:17">
      <c r="B108" s="100"/>
      <c r="C108" s="15"/>
      <c r="D108" s="15"/>
      <c r="E108" s="15"/>
      <c r="F108" s="98"/>
      <c r="G108" s="15"/>
      <c r="H108" s="98"/>
      <c r="I108" s="98"/>
      <c r="J108" s="99"/>
      <c r="K108" s="98"/>
      <c r="L108" s="98"/>
      <c r="M108" s="98"/>
      <c r="N108" s="98"/>
      <c r="O108" s="98"/>
      <c r="P108" s="98"/>
      <c r="Q108" s="98"/>
    </row>
    <row r="109" spans="2:17">
      <c r="B109" s="100"/>
      <c r="C109" s="97"/>
      <c r="D109" s="97"/>
      <c r="E109" s="97"/>
      <c r="F109" s="98"/>
      <c r="G109" s="97"/>
      <c r="H109" s="98"/>
      <c r="I109" s="98"/>
      <c r="J109" s="99"/>
      <c r="K109" s="98"/>
      <c r="L109" s="98"/>
      <c r="M109" s="98"/>
      <c r="N109" s="98"/>
      <c r="O109" s="98"/>
      <c r="P109" s="98"/>
      <c r="Q109" s="98"/>
    </row>
    <row r="110" spans="2:17">
      <c r="B110" s="100"/>
      <c r="C110" s="97"/>
      <c r="D110" s="97"/>
      <c r="E110" s="97"/>
      <c r="F110" s="98"/>
      <c r="G110" s="97"/>
      <c r="H110" s="98"/>
      <c r="I110" s="98"/>
      <c r="J110" s="99"/>
      <c r="K110" s="98"/>
      <c r="L110" s="98"/>
      <c r="M110" s="98"/>
      <c r="N110" s="98"/>
      <c r="O110" s="98"/>
      <c r="P110" s="98"/>
      <c r="Q110" s="98"/>
    </row>
    <row r="111" spans="2:17">
      <c r="B111" s="100"/>
      <c r="C111" s="100"/>
      <c r="D111" s="100"/>
      <c r="E111" s="100"/>
      <c r="F111" s="98"/>
      <c r="G111" s="100"/>
      <c r="H111" s="98"/>
      <c r="I111" s="98"/>
      <c r="J111" s="98"/>
      <c r="K111" s="98"/>
      <c r="L111" s="98"/>
      <c r="M111" s="98"/>
      <c r="N111" s="98"/>
      <c r="O111" s="98"/>
      <c r="P111" s="98"/>
      <c r="Q111" s="98"/>
    </row>
    <row r="112" spans="2:17">
      <c r="B112" s="100"/>
      <c r="C112" s="100"/>
      <c r="D112" s="100"/>
      <c r="E112" s="100"/>
      <c r="F112" s="98"/>
      <c r="G112" s="100"/>
      <c r="H112" s="98"/>
      <c r="I112" s="98"/>
      <c r="J112" s="98"/>
      <c r="K112" s="98"/>
      <c r="L112" s="98"/>
      <c r="M112" s="98"/>
      <c r="N112" s="98"/>
      <c r="O112" s="98"/>
      <c r="P112" s="98"/>
      <c r="Q112" s="98"/>
    </row>
    <row r="113" spans="2:17">
      <c r="B113" s="100"/>
      <c r="C113" s="100"/>
      <c r="D113" s="100"/>
      <c r="E113" s="100"/>
      <c r="F113" s="98"/>
      <c r="G113" s="100"/>
      <c r="H113" s="98"/>
      <c r="I113" s="98"/>
      <c r="J113" s="98"/>
      <c r="K113" s="98"/>
      <c r="L113" s="98"/>
      <c r="M113" s="98"/>
      <c r="N113" s="98"/>
      <c r="O113" s="98"/>
      <c r="P113" s="98"/>
      <c r="Q113" s="98"/>
    </row>
    <row r="114" spans="2:17">
      <c r="B114" s="100"/>
      <c r="C114" s="100"/>
      <c r="D114" s="100"/>
      <c r="E114" s="100"/>
      <c r="F114" s="98"/>
      <c r="G114" s="100"/>
      <c r="H114" s="98"/>
      <c r="I114" s="98"/>
      <c r="J114" s="98"/>
      <c r="K114" s="98"/>
      <c r="L114" s="98"/>
      <c r="M114" s="98"/>
      <c r="N114" s="98"/>
      <c r="O114" s="98"/>
      <c r="P114" s="98"/>
      <c r="Q114" s="98"/>
    </row>
    <row r="115" spans="2:17">
      <c r="B115" s="100"/>
      <c r="C115" s="100"/>
      <c r="D115" s="100"/>
      <c r="E115" s="100"/>
      <c r="F115" s="98"/>
      <c r="G115" s="100"/>
      <c r="H115" s="98"/>
      <c r="I115" s="98"/>
      <c r="J115" s="98"/>
      <c r="K115" s="98"/>
      <c r="L115" s="98"/>
      <c r="M115" s="98"/>
      <c r="N115" s="98"/>
      <c r="O115" s="98"/>
      <c r="P115" s="98"/>
      <c r="Q115" s="98"/>
    </row>
    <row r="116" spans="2:17">
      <c r="B116" s="100"/>
      <c r="C116" s="100"/>
      <c r="D116" s="100"/>
      <c r="E116" s="100"/>
      <c r="F116" s="98"/>
      <c r="G116" s="100"/>
      <c r="H116" s="98"/>
      <c r="I116" s="98"/>
      <c r="J116" s="98"/>
      <c r="K116" s="98"/>
      <c r="L116" s="98"/>
      <c r="M116" s="98"/>
      <c r="N116" s="98"/>
      <c r="O116" s="98"/>
      <c r="P116" s="98"/>
      <c r="Q116" s="98"/>
    </row>
    <row r="117" spans="2:17">
      <c r="B117" s="100"/>
      <c r="C117" s="100"/>
      <c r="D117" s="100"/>
      <c r="E117" s="100"/>
      <c r="F117" s="98"/>
      <c r="G117" s="100"/>
      <c r="H117" s="98"/>
      <c r="I117" s="98"/>
      <c r="J117" s="98"/>
      <c r="K117" s="98"/>
      <c r="L117" s="98"/>
      <c r="M117" s="98"/>
      <c r="N117" s="98"/>
      <c r="O117" s="98"/>
      <c r="P117" s="98"/>
      <c r="Q117" s="98"/>
    </row>
    <row r="118" spans="2:17">
      <c r="B118" s="100"/>
      <c r="C118" s="100"/>
      <c r="D118" s="100"/>
      <c r="E118" s="100"/>
      <c r="F118" s="98"/>
      <c r="G118" s="100"/>
      <c r="H118" s="98"/>
      <c r="I118" s="98"/>
      <c r="J118" s="98"/>
      <c r="K118" s="98"/>
      <c r="L118" s="98"/>
      <c r="M118" s="98"/>
      <c r="N118" s="98"/>
      <c r="O118" s="98"/>
      <c r="P118" s="98"/>
      <c r="Q118" s="98"/>
    </row>
  </sheetData>
  <mergeCells count="17">
    <mergeCell ref="K6:Q6"/>
    <mergeCell ref="A35:A37"/>
    <mergeCell ref="A38:A40"/>
    <mergeCell ref="A41:A43"/>
    <mergeCell ref="A44:A46"/>
    <mergeCell ref="K34:Q34"/>
    <mergeCell ref="A10:A12"/>
    <mergeCell ref="A13:A15"/>
    <mergeCell ref="A16:A18"/>
    <mergeCell ref="A22:A24"/>
    <mergeCell ref="A19:A21"/>
    <mergeCell ref="A50:A52"/>
    <mergeCell ref="A6:B6"/>
    <mergeCell ref="A34:B34"/>
    <mergeCell ref="A7:A9"/>
    <mergeCell ref="A25:A26"/>
    <mergeCell ref="A47:A49"/>
  </mergeCells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5"/>
  <sheetViews>
    <sheetView workbookViewId="0">
      <selection activeCell="P18" sqref="P18"/>
    </sheetView>
  </sheetViews>
  <sheetFormatPr baseColWidth="10" defaultColWidth="9.140625" defaultRowHeight="15"/>
  <sheetData>
    <row r="1" spans="1:10" ht="15.75" thickBot="1"/>
    <row r="2" spans="1:10" ht="22.5" thickTop="1" thickBot="1">
      <c r="B2" s="138" t="s">
        <v>126</v>
      </c>
      <c r="C2" s="139"/>
      <c r="D2" s="139"/>
      <c r="E2" s="139"/>
      <c r="F2" s="139"/>
      <c r="G2" s="139"/>
      <c r="H2" s="139"/>
      <c r="I2" s="140"/>
      <c r="J2" s="139"/>
    </row>
    <row r="3" spans="1:10" ht="15.75" thickTop="1"/>
    <row r="4" spans="1:10" ht="51">
      <c r="B4" s="110" t="s">
        <v>44</v>
      </c>
      <c r="C4" s="117" t="s">
        <v>60</v>
      </c>
      <c r="D4" s="117" t="s">
        <v>61</v>
      </c>
      <c r="E4" s="118" t="s">
        <v>110</v>
      </c>
      <c r="F4" s="118" t="s">
        <v>123</v>
      </c>
      <c r="G4" s="117" t="s">
        <v>121</v>
      </c>
      <c r="H4" s="118" t="s">
        <v>5</v>
      </c>
      <c r="I4" s="118" t="s">
        <v>124</v>
      </c>
      <c r="J4" s="118" t="s">
        <v>122</v>
      </c>
    </row>
    <row r="5" spans="1:10" ht="13.5" customHeight="1">
      <c r="B5" s="119" t="s">
        <v>161</v>
      </c>
      <c r="C5" s="88">
        <v>37.200000000000003</v>
      </c>
      <c r="D5" s="90">
        <v>53.384999999999998</v>
      </c>
      <c r="E5" s="90">
        <v>62.852499999999999</v>
      </c>
      <c r="F5" s="90">
        <v>48.925000000000004</v>
      </c>
      <c r="G5" s="108">
        <v>60.760000000000005</v>
      </c>
      <c r="H5" s="90">
        <v>51.307499999999997</v>
      </c>
      <c r="I5" s="89">
        <v>53.795000000000002</v>
      </c>
      <c r="J5" s="90">
        <v>42.754999999999995</v>
      </c>
    </row>
    <row r="6" spans="1:10" ht="14.25" customHeight="1">
      <c r="B6" s="119" t="s">
        <v>114</v>
      </c>
      <c r="C6" s="88">
        <v>18.627499999999998</v>
      </c>
      <c r="D6" s="90">
        <v>18.782499999999999</v>
      </c>
      <c r="E6" s="90">
        <v>18.887500000000003</v>
      </c>
      <c r="F6" s="90">
        <v>18.410000000000004</v>
      </c>
      <c r="G6" s="108">
        <v>17.785000000000004</v>
      </c>
      <c r="H6" s="90">
        <v>18.647500000000008</v>
      </c>
      <c r="I6" s="89">
        <v>20.772499999999994</v>
      </c>
      <c r="J6" s="90">
        <v>18.844999999999999</v>
      </c>
    </row>
    <row r="7" spans="1:10" ht="13.5" customHeight="1">
      <c r="B7" s="119" t="s">
        <v>115</v>
      </c>
      <c r="C7" s="88">
        <v>93.89500000000001</v>
      </c>
      <c r="D7" s="90">
        <v>94.114999999999995</v>
      </c>
      <c r="E7" s="90">
        <v>93.597499999999997</v>
      </c>
      <c r="F7" s="90">
        <v>93.44</v>
      </c>
      <c r="G7" s="108">
        <v>94.677500000000009</v>
      </c>
      <c r="H7" s="90">
        <v>93.677500000000009</v>
      </c>
      <c r="I7" s="89">
        <v>93.462500000000006</v>
      </c>
      <c r="J7" s="90">
        <v>93.414999999999992</v>
      </c>
    </row>
    <row r="8" spans="1:10" ht="13.5" customHeight="1">
      <c r="B8" s="119" t="s">
        <v>116</v>
      </c>
      <c r="C8" s="88">
        <v>67.375</v>
      </c>
      <c r="D8" s="90">
        <v>67.08250000000001</v>
      </c>
      <c r="E8" s="90" t="s">
        <v>125</v>
      </c>
      <c r="F8" s="90">
        <v>67.66</v>
      </c>
      <c r="G8" s="108">
        <v>67.644999999999982</v>
      </c>
      <c r="H8" s="90">
        <v>67.717500000000001</v>
      </c>
      <c r="I8" s="89">
        <v>67.742500000000007</v>
      </c>
      <c r="J8" s="90">
        <v>67.655000000000001</v>
      </c>
    </row>
    <row r="9" spans="1:10" ht="14.25" customHeight="1">
      <c r="B9" s="119" t="s">
        <v>117</v>
      </c>
      <c r="C9" s="88">
        <v>2.4666666666666686</v>
      </c>
      <c r="D9" s="90">
        <v>2.9174999999999969</v>
      </c>
      <c r="E9" s="90">
        <v>2.5174999999999983</v>
      </c>
      <c r="F9" s="90">
        <v>2.34</v>
      </c>
      <c r="G9" s="108">
        <v>2.355000000000004</v>
      </c>
      <c r="H9" s="90">
        <v>2.2824999999999989</v>
      </c>
      <c r="I9" s="89">
        <v>2.2575000000000003</v>
      </c>
      <c r="J9" s="90">
        <v>2.3449999999999989</v>
      </c>
    </row>
    <row r="10" spans="1:10" ht="37.5" customHeight="1">
      <c r="B10" s="117" t="s">
        <v>118</v>
      </c>
      <c r="C10" s="88">
        <v>183.8</v>
      </c>
      <c r="D10" s="90">
        <v>182.57</v>
      </c>
      <c r="E10" s="90">
        <v>178.1225</v>
      </c>
      <c r="F10" s="90">
        <v>187.27250000000001</v>
      </c>
      <c r="G10" s="108">
        <v>174.72749999999999</v>
      </c>
      <c r="H10" s="90">
        <v>181.86750000000001</v>
      </c>
      <c r="I10" s="89">
        <v>177.4325</v>
      </c>
      <c r="J10" s="90">
        <v>181.08500000000001</v>
      </c>
    </row>
    <row r="11" spans="1:10" ht="14.25" customHeight="1">
      <c r="B11" s="120" t="s">
        <v>53</v>
      </c>
      <c r="C11" s="106">
        <v>0.2</v>
      </c>
      <c r="D11" s="107">
        <v>0.38500000000000006</v>
      </c>
      <c r="E11" s="107">
        <v>0.45</v>
      </c>
      <c r="F11" s="90">
        <v>0.30499999999999999</v>
      </c>
      <c r="G11" s="109">
        <v>0.29249999999999998</v>
      </c>
      <c r="H11" s="90">
        <v>0.21</v>
      </c>
      <c r="I11" s="89">
        <v>0.42249999999999999</v>
      </c>
      <c r="J11" s="90">
        <v>0.27</v>
      </c>
    </row>
    <row r="12" spans="1:10" ht="14.25" customHeight="1">
      <c r="B12" s="120" t="s">
        <v>54</v>
      </c>
      <c r="C12" s="106">
        <v>2.04</v>
      </c>
      <c r="D12" s="107">
        <v>3.5874999999999995</v>
      </c>
      <c r="E12" s="107">
        <v>3.9</v>
      </c>
      <c r="F12" s="90">
        <v>2.8525</v>
      </c>
      <c r="G12" s="109">
        <v>3.0150000000000001</v>
      </c>
      <c r="H12" s="90">
        <v>1.7949999999999999</v>
      </c>
      <c r="I12" s="89">
        <v>4.24</v>
      </c>
      <c r="J12" s="90">
        <v>2.4900000000000002</v>
      </c>
    </row>
    <row r="16" spans="1:10">
      <c r="A16" s="1"/>
      <c r="B16" s="1"/>
    </row>
    <row r="17" spans="2:20" ht="51">
      <c r="B17" s="111" t="s">
        <v>45</v>
      </c>
      <c r="C17" s="121" t="s">
        <v>60</v>
      </c>
      <c r="D17" s="121" t="s">
        <v>61</v>
      </c>
      <c r="E17" s="122" t="s">
        <v>110</v>
      </c>
      <c r="F17" s="122" t="s">
        <v>123</v>
      </c>
      <c r="G17" s="121" t="s">
        <v>121</v>
      </c>
      <c r="H17" s="122" t="s">
        <v>5</v>
      </c>
      <c r="I17" s="122" t="s">
        <v>124</v>
      </c>
      <c r="J17" s="122" t="s">
        <v>122</v>
      </c>
      <c r="L17" s="112"/>
    </row>
    <row r="18" spans="2:20">
      <c r="B18" s="123" t="s">
        <v>93</v>
      </c>
      <c r="C18" s="88">
        <v>37.4</v>
      </c>
      <c r="D18" s="90">
        <v>55.1</v>
      </c>
      <c r="E18" s="90">
        <v>51.752499999999998</v>
      </c>
      <c r="F18" s="90">
        <v>49.122500000000002</v>
      </c>
      <c r="G18" s="108">
        <v>56.03</v>
      </c>
      <c r="H18" s="90">
        <v>50.3825</v>
      </c>
      <c r="I18" s="89">
        <v>52.517499999999998</v>
      </c>
      <c r="J18" s="90">
        <v>44.64</v>
      </c>
      <c r="M18" s="17"/>
      <c r="N18" s="17"/>
      <c r="O18" s="17"/>
      <c r="P18" s="17"/>
      <c r="Q18" s="17"/>
      <c r="R18" s="17"/>
      <c r="S18" s="17"/>
      <c r="T18" s="17"/>
    </row>
    <row r="19" spans="2:20">
      <c r="B19" s="123" t="s">
        <v>114</v>
      </c>
      <c r="C19" s="88">
        <v>17.8</v>
      </c>
      <c r="D19" s="90">
        <v>17.2</v>
      </c>
      <c r="E19" s="90">
        <v>17.515000000000001</v>
      </c>
      <c r="F19" s="90">
        <v>18.102499999999999</v>
      </c>
      <c r="G19" s="108">
        <v>18.082499999999989</v>
      </c>
      <c r="H19" s="90">
        <v>18.440000000000005</v>
      </c>
      <c r="I19" s="89">
        <v>18.494999999999997</v>
      </c>
      <c r="J19" s="90">
        <v>18.965000000000003</v>
      </c>
      <c r="M19" s="17"/>
      <c r="N19" s="17"/>
      <c r="O19" s="17"/>
      <c r="P19" s="17"/>
      <c r="Q19" s="17"/>
      <c r="R19" s="17"/>
      <c r="S19" s="17"/>
      <c r="T19" s="17"/>
    </row>
    <row r="20" spans="2:20">
      <c r="B20" s="123" t="s">
        <v>115</v>
      </c>
      <c r="C20" s="88">
        <v>87</v>
      </c>
      <c r="D20" s="90">
        <v>87.7</v>
      </c>
      <c r="E20" s="90">
        <v>87.83</v>
      </c>
      <c r="F20" s="90">
        <v>87.59</v>
      </c>
      <c r="G20" s="108">
        <v>87.0625</v>
      </c>
      <c r="H20" s="90">
        <v>86.920000000000016</v>
      </c>
      <c r="I20" s="89">
        <v>86.155000000000001</v>
      </c>
      <c r="J20" s="90">
        <v>87.89500000000001</v>
      </c>
      <c r="M20" s="17"/>
      <c r="N20" s="17"/>
      <c r="O20" s="17"/>
      <c r="P20" s="17"/>
      <c r="Q20" s="17"/>
      <c r="R20" s="17"/>
      <c r="S20" s="17"/>
      <c r="T20" s="17"/>
    </row>
    <row r="21" spans="2:20">
      <c r="B21" s="123" t="s">
        <v>116</v>
      </c>
      <c r="C21" s="88">
        <v>74.8</v>
      </c>
      <c r="D21" s="90">
        <v>74.8</v>
      </c>
      <c r="E21" s="90">
        <v>74.627499999999998</v>
      </c>
      <c r="F21" s="90">
        <v>74.459999999999994</v>
      </c>
      <c r="G21" s="108">
        <v>75</v>
      </c>
      <c r="H21" s="90">
        <v>74.747500000000002</v>
      </c>
      <c r="I21" s="89">
        <v>75.162500000000009</v>
      </c>
      <c r="J21" s="90">
        <v>73.990000000000009</v>
      </c>
      <c r="M21" s="17"/>
      <c r="N21" s="17"/>
      <c r="O21" s="17"/>
      <c r="P21" s="17"/>
      <c r="Q21" s="17"/>
      <c r="R21" s="17"/>
      <c r="S21" s="17"/>
      <c r="T21" s="17"/>
    </row>
    <row r="22" spans="2:20">
      <c r="B22" s="123" t="s">
        <v>119</v>
      </c>
      <c r="C22" s="88">
        <f>90-(C19+12)</f>
        <v>60.2</v>
      </c>
      <c r="D22" s="90">
        <f>90-(D19+12)</f>
        <v>60.8</v>
      </c>
      <c r="E22" s="90">
        <v>3.3724999999999987</v>
      </c>
      <c r="F22" s="90">
        <v>3.5400000000000027</v>
      </c>
      <c r="G22" s="108">
        <v>2.9999999999999964</v>
      </c>
      <c r="H22" s="90">
        <v>3.2525000000000013</v>
      </c>
      <c r="I22" s="89">
        <v>2.8374999999999986</v>
      </c>
      <c r="J22" s="90">
        <v>4.009999999999998</v>
      </c>
      <c r="M22" s="17"/>
      <c r="N22" s="17"/>
      <c r="O22" s="17"/>
      <c r="P22" s="17"/>
      <c r="Q22" s="17"/>
      <c r="R22" s="17"/>
      <c r="S22" s="17"/>
      <c r="T22" s="17"/>
    </row>
    <row r="23" spans="2:20" ht="38.25">
      <c r="B23" s="121" t="s">
        <v>118</v>
      </c>
      <c r="C23" s="88">
        <v>88.293333333333337</v>
      </c>
      <c r="D23" s="90">
        <v>89.9</v>
      </c>
      <c r="E23" s="90">
        <v>80.797499999999999</v>
      </c>
      <c r="F23" s="90">
        <v>88.112499999999997</v>
      </c>
      <c r="G23" s="108">
        <v>80.38</v>
      </c>
      <c r="H23" s="90">
        <v>84</v>
      </c>
      <c r="I23" s="89">
        <v>85.577500000000001</v>
      </c>
      <c r="J23" s="90">
        <v>76.63</v>
      </c>
      <c r="M23" s="17"/>
      <c r="N23" s="17"/>
      <c r="O23" s="17"/>
      <c r="P23" s="17"/>
      <c r="Q23" s="17"/>
      <c r="R23" s="17"/>
      <c r="S23" s="17"/>
      <c r="T23" s="17"/>
    </row>
    <row r="24" spans="2:20">
      <c r="B24" s="124" t="s">
        <v>53</v>
      </c>
      <c r="C24" s="106">
        <v>0.12666666666666668</v>
      </c>
      <c r="D24" s="107">
        <v>0.21</v>
      </c>
      <c r="E24" s="107">
        <v>0.29250000000000004</v>
      </c>
      <c r="F24" s="90">
        <v>0.375</v>
      </c>
      <c r="G24" s="109">
        <v>0.2475</v>
      </c>
      <c r="H24" s="90">
        <v>0.375</v>
      </c>
      <c r="I24" s="89">
        <v>0.375</v>
      </c>
      <c r="J24" s="90">
        <v>0.3</v>
      </c>
      <c r="M24" s="105"/>
      <c r="N24" s="105"/>
      <c r="O24" s="105"/>
      <c r="P24" s="105"/>
      <c r="Q24" s="105"/>
      <c r="R24" s="105"/>
      <c r="S24" s="105"/>
      <c r="T24" s="105"/>
    </row>
    <row r="25" spans="2:20">
      <c r="B25" s="124" t="s">
        <v>54</v>
      </c>
      <c r="C25" s="106">
        <v>1.2</v>
      </c>
      <c r="D25" s="107">
        <v>2.06</v>
      </c>
      <c r="E25" s="107">
        <v>2.4275000000000002</v>
      </c>
      <c r="F25" s="90">
        <v>3.3499999999999996</v>
      </c>
      <c r="G25" s="109">
        <v>2.1475</v>
      </c>
      <c r="H25" s="90">
        <v>3.3250000000000002</v>
      </c>
      <c r="I25" s="89">
        <v>4.1000000000000005</v>
      </c>
      <c r="J25" s="90">
        <v>2.5</v>
      </c>
      <c r="M25" s="105"/>
      <c r="N25" s="105"/>
      <c r="O25" s="105"/>
      <c r="P25" s="105"/>
      <c r="Q25" s="105"/>
      <c r="R25" s="105"/>
      <c r="S25" s="105"/>
      <c r="T25" s="105"/>
    </row>
  </sheetData>
  <phoneticPr fontId="1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S40"/>
  <sheetViews>
    <sheetView tabSelected="1" workbookViewId="0">
      <selection activeCell="N15" sqref="N15"/>
    </sheetView>
  </sheetViews>
  <sheetFormatPr baseColWidth="10" defaultColWidth="9.140625" defaultRowHeight="15"/>
  <cols>
    <col min="2" max="2" width="8" customWidth="1"/>
    <col min="3" max="3" width="11.28515625" customWidth="1"/>
  </cols>
  <sheetData>
    <row r="2" spans="1:19" ht="18.75">
      <c r="F2" s="187" t="s">
        <v>133</v>
      </c>
      <c r="G2" s="188"/>
      <c r="H2" s="188"/>
      <c r="I2" s="188"/>
      <c r="J2" s="188"/>
      <c r="K2" s="188"/>
      <c r="L2" s="188"/>
      <c r="M2" s="188"/>
      <c r="N2" s="188"/>
      <c r="O2" s="188"/>
    </row>
    <row r="4" spans="1:19" ht="13.5" customHeight="1">
      <c r="A4" s="196" t="s">
        <v>132</v>
      </c>
      <c r="B4" s="196"/>
      <c r="C4" s="197"/>
      <c r="D4" s="167" t="s">
        <v>94</v>
      </c>
      <c r="E4" s="163"/>
      <c r="F4" s="163"/>
      <c r="G4" s="168"/>
      <c r="H4" s="167" t="s">
        <v>0</v>
      </c>
      <c r="I4" s="163"/>
      <c r="J4" s="163"/>
      <c r="K4" s="168"/>
      <c r="L4" s="167" t="s">
        <v>1</v>
      </c>
      <c r="M4" s="163"/>
      <c r="N4" s="163"/>
      <c r="O4" s="168"/>
      <c r="P4" s="167" t="s">
        <v>4</v>
      </c>
      <c r="Q4" s="163"/>
      <c r="R4" s="163"/>
      <c r="S4" s="168"/>
    </row>
    <row r="5" spans="1:19">
      <c r="A5" s="196"/>
      <c r="B5" s="196"/>
      <c r="C5" s="197"/>
      <c r="D5" s="91" t="s">
        <v>13</v>
      </c>
      <c r="E5" s="91" t="s">
        <v>19</v>
      </c>
      <c r="F5" s="91" t="s">
        <v>46</v>
      </c>
      <c r="G5" s="91" t="s">
        <v>11</v>
      </c>
      <c r="H5" s="91" t="s">
        <v>14</v>
      </c>
      <c r="I5" s="91" t="s">
        <v>15</v>
      </c>
      <c r="J5" s="91" t="s">
        <v>16</v>
      </c>
      <c r="K5" s="91" t="s">
        <v>17</v>
      </c>
      <c r="L5" s="104" t="s">
        <v>162</v>
      </c>
      <c r="M5" s="141" t="s">
        <v>163</v>
      </c>
      <c r="N5" s="141" t="s">
        <v>164</v>
      </c>
      <c r="O5" s="141" t="s">
        <v>165</v>
      </c>
      <c r="P5" s="2" t="s">
        <v>26</v>
      </c>
      <c r="Q5" s="2" t="s">
        <v>27</v>
      </c>
      <c r="R5" s="2" t="s">
        <v>28</v>
      </c>
      <c r="S5" s="2" t="s">
        <v>29</v>
      </c>
    </row>
    <row r="6" spans="1:19">
      <c r="A6" s="198" t="s">
        <v>159</v>
      </c>
      <c r="B6" s="199"/>
      <c r="C6" s="20" t="s">
        <v>9</v>
      </c>
      <c r="D6" s="46" t="s">
        <v>55</v>
      </c>
      <c r="E6" s="29">
        <v>37.61</v>
      </c>
      <c r="F6" s="29">
        <v>35.799999999999997</v>
      </c>
      <c r="G6" s="47">
        <v>38.04</v>
      </c>
      <c r="H6" s="55">
        <v>55.01</v>
      </c>
      <c r="I6" s="29">
        <v>52.01</v>
      </c>
      <c r="J6" s="29">
        <v>54.49</v>
      </c>
      <c r="K6" s="47">
        <v>52.03</v>
      </c>
      <c r="L6" s="55">
        <v>65.05</v>
      </c>
      <c r="M6" s="29">
        <v>66.8</v>
      </c>
      <c r="N6" s="29">
        <v>58.43</v>
      </c>
      <c r="O6" s="47">
        <v>61.13</v>
      </c>
      <c r="P6" s="55">
        <v>47.94</v>
      </c>
      <c r="Q6" s="29">
        <v>50.34</v>
      </c>
      <c r="R6" s="29">
        <v>46.46</v>
      </c>
      <c r="S6" s="47">
        <v>50.96</v>
      </c>
    </row>
    <row r="7" spans="1:19">
      <c r="A7" s="198"/>
      <c r="B7" s="199"/>
      <c r="C7" s="21" t="s">
        <v>10</v>
      </c>
      <c r="D7" s="48" t="s">
        <v>102</v>
      </c>
      <c r="E7" s="28">
        <v>11.28</v>
      </c>
      <c r="F7" s="28">
        <v>13.81</v>
      </c>
      <c r="G7" s="49">
        <v>10.98</v>
      </c>
      <c r="H7" s="48">
        <v>32.4</v>
      </c>
      <c r="I7" s="28">
        <v>24.492000000000001</v>
      </c>
      <c r="J7" s="28">
        <v>24.55</v>
      </c>
      <c r="K7" s="49">
        <v>23.99</v>
      </c>
      <c r="L7" s="48" t="s">
        <v>75</v>
      </c>
      <c r="M7" s="28">
        <v>27.58</v>
      </c>
      <c r="N7" s="28">
        <v>30.628</v>
      </c>
      <c r="O7" s="49">
        <v>26.798999999999999</v>
      </c>
      <c r="P7" s="48" t="s">
        <v>102</v>
      </c>
      <c r="Q7" s="28">
        <v>16.600000000000001</v>
      </c>
      <c r="R7" s="28">
        <v>24.93</v>
      </c>
      <c r="S7" s="49">
        <v>25.24</v>
      </c>
    </row>
    <row r="8" spans="1:19" ht="13.5" customHeight="1">
      <c r="D8" s="167" t="s">
        <v>2</v>
      </c>
      <c r="E8" s="163"/>
      <c r="F8" s="163"/>
      <c r="G8" s="168"/>
      <c r="H8" s="167" t="s">
        <v>5</v>
      </c>
      <c r="I8" s="163"/>
      <c r="J8" s="163"/>
      <c r="K8" s="168"/>
      <c r="L8" s="163" t="s">
        <v>6</v>
      </c>
      <c r="M8" s="163"/>
      <c r="N8" s="163"/>
      <c r="O8" s="163"/>
      <c r="P8" s="167" t="s">
        <v>3</v>
      </c>
      <c r="Q8" s="168"/>
    </row>
    <row r="9" spans="1:19">
      <c r="D9" s="115" t="s">
        <v>20</v>
      </c>
      <c r="E9" s="115" t="s">
        <v>21</v>
      </c>
      <c r="F9" s="115" t="s">
        <v>22</v>
      </c>
      <c r="G9" s="115" t="s">
        <v>23</v>
      </c>
      <c r="H9" s="2" t="s">
        <v>30</v>
      </c>
      <c r="I9" s="2" t="s">
        <v>31</v>
      </c>
      <c r="J9" s="2" t="s">
        <v>32</v>
      </c>
      <c r="K9" s="2" t="s">
        <v>33</v>
      </c>
      <c r="L9" s="56" t="s">
        <v>34</v>
      </c>
      <c r="M9" s="2" t="s">
        <v>35</v>
      </c>
      <c r="N9" s="2" t="s">
        <v>37</v>
      </c>
      <c r="O9" s="6" t="s">
        <v>36</v>
      </c>
      <c r="P9" s="2" t="s">
        <v>24</v>
      </c>
      <c r="Q9" s="2" t="s">
        <v>25</v>
      </c>
    </row>
    <row r="10" spans="1:19">
      <c r="D10" s="55">
        <v>57.85</v>
      </c>
      <c r="E10" s="29">
        <v>60.89</v>
      </c>
      <c r="F10" s="29">
        <v>59.66</v>
      </c>
      <c r="G10" s="47">
        <v>64.64</v>
      </c>
      <c r="H10" s="55">
        <v>54.44</v>
      </c>
      <c r="I10" s="29">
        <v>50.82</v>
      </c>
      <c r="J10" s="29">
        <v>50.93</v>
      </c>
      <c r="K10" s="47">
        <v>49.04</v>
      </c>
      <c r="L10" s="30">
        <v>55.59</v>
      </c>
      <c r="M10" s="30">
        <v>52.5</v>
      </c>
      <c r="N10" s="30">
        <v>52.5</v>
      </c>
      <c r="O10" s="30">
        <v>54.59</v>
      </c>
      <c r="P10" s="55">
        <v>42.97</v>
      </c>
      <c r="Q10" s="47">
        <v>42.54</v>
      </c>
    </row>
    <row r="11" spans="1:19">
      <c r="D11" s="48">
        <v>32.026000000000003</v>
      </c>
      <c r="E11" s="28">
        <v>46.8</v>
      </c>
      <c r="F11" s="28">
        <v>34.1</v>
      </c>
      <c r="G11" s="28">
        <v>33.36</v>
      </c>
      <c r="H11" s="28">
        <v>25.477</v>
      </c>
      <c r="I11" s="28">
        <v>26.9</v>
      </c>
      <c r="J11" s="28">
        <v>34.822000000000003</v>
      </c>
      <c r="K11" s="49">
        <v>29.457999999999998</v>
      </c>
      <c r="L11" s="28">
        <v>25.56</v>
      </c>
      <c r="M11" s="28">
        <v>23.03</v>
      </c>
      <c r="N11" s="28">
        <v>36.35</v>
      </c>
      <c r="O11" s="28">
        <v>26.7</v>
      </c>
      <c r="P11" s="48">
        <v>28.25</v>
      </c>
      <c r="Q11" s="49">
        <v>26.05</v>
      </c>
    </row>
    <row r="13" spans="1:19" ht="28.5" customHeight="1">
      <c r="A13" s="194" t="s">
        <v>131</v>
      </c>
      <c r="B13" s="194"/>
      <c r="C13" s="195"/>
      <c r="D13" s="145" t="s">
        <v>59</v>
      </c>
      <c r="E13" s="146"/>
      <c r="F13" s="146"/>
      <c r="G13" s="147"/>
      <c r="H13" s="145" t="s">
        <v>49</v>
      </c>
      <c r="I13" s="146"/>
      <c r="J13" s="146"/>
      <c r="K13" s="147"/>
      <c r="L13" s="145" t="s">
        <v>166</v>
      </c>
      <c r="M13" s="146"/>
      <c r="N13" s="146"/>
      <c r="O13" s="147"/>
      <c r="P13" s="145" t="s">
        <v>97</v>
      </c>
      <c r="Q13" s="146"/>
      <c r="R13" s="146"/>
      <c r="S13" s="147"/>
    </row>
    <row r="14" spans="1:19" ht="14.25" customHeight="1" thickBot="1">
      <c r="A14" s="194"/>
      <c r="B14" s="194"/>
      <c r="C14" s="195"/>
      <c r="D14" s="4" t="s">
        <v>13</v>
      </c>
      <c r="E14" s="4" t="s">
        <v>19</v>
      </c>
      <c r="F14" s="4" t="s">
        <v>46</v>
      </c>
      <c r="G14" s="4" t="s">
        <v>11</v>
      </c>
      <c r="H14" s="4" t="s">
        <v>14</v>
      </c>
      <c r="I14" s="4" t="s">
        <v>15</v>
      </c>
      <c r="J14" s="4" t="s">
        <v>16</v>
      </c>
      <c r="K14" s="4" t="s">
        <v>17</v>
      </c>
      <c r="L14" s="4" t="s">
        <v>104</v>
      </c>
      <c r="M14" s="4" t="s">
        <v>105</v>
      </c>
      <c r="N14" s="4" t="s">
        <v>38</v>
      </c>
      <c r="O14" s="4" t="s">
        <v>39</v>
      </c>
      <c r="P14" s="93" t="s">
        <v>98</v>
      </c>
      <c r="Q14" s="93" t="s">
        <v>99</v>
      </c>
      <c r="R14" s="93" t="s">
        <v>100</v>
      </c>
      <c r="S14" s="93" t="s">
        <v>101</v>
      </c>
    </row>
    <row r="15" spans="1:19">
      <c r="A15" s="193" t="s">
        <v>111</v>
      </c>
      <c r="B15" s="191" t="s">
        <v>134</v>
      </c>
      <c r="C15" s="192"/>
      <c r="D15" s="46" t="s">
        <v>55</v>
      </c>
      <c r="E15" s="29">
        <v>34.630000000000003</v>
      </c>
      <c r="F15" s="29">
        <v>39.15</v>
      </c>
      <c r="G15" s="47">
        <v>38.5</v>
      </c>
      <c r="H15" s="55">
        <v>55.4</v>
      </c>
      <c r="I15" s="29">
        <v>56.11</v>
      </c>
      <c r="J15" s="29">
        <v>54.86</v>
      </c>
      <c r="K15" s="47">
        <v>54.11</v>
      </c>
      <c r="L15" s="55">
        <v>52.3</v>
      </c>
      <c r="M15" s="29">
        <v>55.5</v>
      </c>
      <c r="N15" s="29">
        <v>52.77</v>
      </c>
      <c r="O15" s="47">
        <v>46.44</v>
      </c>
      <c r="P15" s="55">
        <v>48.92</v>
      </c>
      <c r="Q15" s="29">
        <v>48.28</v>
      </c>
      <c r="R15" s="29">
        <v>48.23</v>
      </c>
      <c r="S15" s="47">
        <v>51.06</v>
      </c>
    </row>
    <row r="16" spans="1:19">
      <c r="A16" s="193"/>
      <c r="B16" s="189" t="s">
        <v>10</v>
      </c>
      <c r="C16" s="190"/>
      <c r="D16" s="48" t="s">
        <v>55</v>
      </c>
      <c r="E16" s="28">
        <v>11.5</v>
      </c>
      <c r="F16" s="28">
        <v>21.77</v>
      </c>
      <c r="G16" s="49">
        <v>11.16</v>
      </c>
      <c r="H16" s="48">
        <v>28.4</v>
      </c>
      <c r="I16" s="28">
        <v>27.3</v>
      </c>
      <c r="J16" s="28">
        <v>30.85</v>
      </c>
      <c r="K16" s="49">
        <v>26.88</v>
      </c>
      <c r="L16" s="48">
        <v>37.164999999999999</v>
      </c>
      <c r="M16" s="28">
        <v>29.773</v>
      </c>
      <c r="N16" s="28">
        <v>34.21</v>
      </c>
      <c r="O16" s="28">
        <v>35.94</v>
      </c>
      <c r="P16" s="48">
        <v>25.18</v>
      </c>
      <c r="Q16" s="28">
        <v>22.85</v>
      </c>
      <c r="R16" s="28">
        <v>26.399000000000001</v>
      </c>
      <c r="S16" s="49">
        <v>20.3</v>
      </c>
    </row>
    <row r="17" spans="3:17" ht="13.5" customHeight="1">
      <c r="D17" s="145" t="s">
        <v>2</v>
      </c>
      <c r="E17" s="146"/>
      <c r="F17" s="146"/>
      <c r="G17" s="147"/>
      <c r="H17" s="145" t="s">
        <v>5</v>
      </c>
      <c r="I17" s="146"/>
      <c r="J17" s="146"/>
      <c r="K17" s="147"/>
      <c r="L17" s="145" t="s">
        <v>150</v>
      </c>
      <c r="M17" s="146"/>
      <c r="N17" s="146"/>
      <c r="O17" s="147"/>
      <c r="P17" s="145" t="s">
        <v>3</v>
      </c>
      <c r="Q17" s="146"/>
    </row>
    <row r="18" spans="3:17">
      <c r="D18" s="4" t="s">
        <v>136</v>
      </c>
      <c r="E18" s="4" t="s">
        <v>137</v>
      </c>
      <c r="F18" s="4" t="s">
        <v>138</v>
      </c>
      <c r="G18" s="4" t="s">
        <v>139</v>
      </c>
      <c r="H18" s="4" t="s">
        <v>140</v>
      </c>
      <c r="I18" s="4" t="s">
        <v>141</v>
      </c>
      <c r="J18" s="4" t="s">
        <v>142</v>
      </c>
      <c r="K18" s="4" t="s">
        <v>143</v>
      </c>
      <c r="L18" s="4" t="s">
        <v>144</v>
      </c>
      <c r="M18" s="4" t="s">
        <v>145</v>
      </c>
      <c r="N18" s="4" t="s">
        <v>146</v>
      </c>
      <c r="O18" s="4" t="s">
        <v>147</v>
      </c>
      <c r="P18" s="93" t="s">
        <v>148</v>
      </c>
      <c r="Q18" s="93" t="s">
        <v>25</v>
      </c>
    </row>
    <row r="19" spans="3:17">
      <c r="D19" s="55">
        <v>55.13</v>
      </c>
      <c r="E19" s="29">
        <v>53.51</v>
      </c>
      <c r="F19" s="29">
        <v>56.1</v>
      </c>
      <c r="G19" s="47">
        <v>59.38</v>
      </c>
      <c r="H19" s="55">
        <v>49.2</v>
      </c>
      <c r="I19" s="29">
        <v>52.51</v>
      </c>
      <c r="J19" s="29">
        <v>50.04</v>
      </c>
      <c r="K19" s="47">
        <v>49.78</v>
      </c>
      <c r="L19" s="30">
        <v>53.79</v>
      </c>
      <c r="M19" s="30">
        <v>53.24</v>
      </c>
      <c r="N19" s="30">
        <v>52.31</v>
      </c>
      <c r="O19" s="30">
        <v>50.73</v>
      </c>
      <c r="P19" s="29">
        <v>45.61</v>
      </c>
      <c r="Q19" s="47">
        <v>43.67</v>
      </c>
    </row>
    <row r="20" spans="3:17">
      <c r="D20" s="48">
        <v>27.776</v>
      </c>
      <c r="E20" s="28">
        <v>35.58</v>
      </c>
      <c r="F20" s="28">
        <v>47.96</v>
      </c>
      <c r="G20" s="49">
        <v>35.97</v>
      </c>
      <c r="H20" s="48">
        <v>27.53</v>
      </c>
      <c r="I20" s="28">
        <v>34.015000000000001</v>
      </c>
      <c r="J20" s="28">
        <v>30.209</v>
      </c>
      <c r="K20" s="49">
        <v>31.338999999999999</v>
      </c>
      <c r="L20" s="28">
        <v>36.46</v>
      </c>
      <c r="M20" s="28">
        <v>37.299999999999997</v>
      </c>
      <c r="N20" s="28">
        <v>24.228000000000002</v>
      </c>
      <c r="O20" s="28">
        <v>24.92</v>
      </c>
      <c r="P20" s="28">
        <v>21.97</v>
      </c>
      <c r="Q20" s="49">
        <v>19.38</v>
      </c>
    </row>
    <row r="23" spans="3:17" ht="25.5" customHeight="1">
      <c r="D23" s="129"/>
      <c r="E23" s="127"/>
      <c r="F23" s="126" t="s">
        <v>135</v>
      </c>
      <c r="G23" s="126" t="s">
        <v>151</v>
      </c>
      <c r="H23" s="126" t="s">
        <v>152</v>
      </c>
      <c r="I23" s="126" t="s">
        <v>153</v>
      </c>
      <c r="J23" s="126" t="s">
        <v>154</v>
      </c>
      <c r="K23" s="126" t="s">
        <v>155</v>
      </c>
      <c r="L23" s="126" t="s">
        <v>6</v>
      </c>
      <c r="M23" s="126" t="s">
        <v>156</v>
      </c>
    </row>
    <row r="24" spans="3:17" ht="13.5" customHeight="1">
      <c r="C24" s="186" t="s">
        <v>158</v>
      </c>
      <c r="D24" s="184" t="s">
        <v>107</v>
      </c>
      <c r="E24" s="130" t="s">
        <v>95</v>
      </c>
      <c r="F24" s="132">
        <v>37.200000000000003</v>
      </c>
      <c r="G24" s="133">
        <v>53.384999999999998</v>
      </c>
      <c r="H24" s="133">
        <v>62.852499999999999</v>
      </c>
      <c r="I24" s="133">
        <v>48.924999999999997</v>
      </c>
      <c r="J24" s="134">
        <f>AVERAGE(D10:G10)</f>
        <v>60.760000000000005</v>
      </c>
      <c r="K24" s="134">
        <f>AVERAGE(H10:K10)</f>
        <v>51.307499999999997</v>
      </c>
      <c r="L24" s="134">
        <f>AVERAGE(L10:O10)</f>
        <v>53.795000000000002</v>
      </c>
      <c r="M24" s="134">
        <f>AVERAGE(P10:Q10)</f>
        <v>42.754999999999995</v>
      </c>
    </row>
    <row r="25" spans="3:17">
      <c r="C25" s="186"/>
      <c r="D25" s="185"/>
      <c r="E25" s="128" t="s">
        <v>96</v>
      </c>
      <c r="F25" s="132">
        <v>12</v>
      </c>
      <c r="G25" s="133">
        <v>26.4</v>
      </c>
      <c r="H25" s="133">
        <v>28.335666666666668</v>
      </c>
      <c r="I25" s="133">
        <v>22.3</v>
      </c>
      <c r="J25" s="134">
        <f>AVERAGE(D11:G11)</f>
        <v>36.5715</v>
      </c>
      <c r="K25" s="134">
        <f>AVERAGE(H11:K11)</f>
        <v>29.164249999999999</v>
      </c>
      <c r="L25" s="134">
        <f>AVERAGE(L11:O11)</f>
        <v>27.91</v>
      </c>
      <c r="M25" s="134">
        <f>AVERAGE(P11:Q11)</f>
        <v>27.15</v>
      </c>
    </row>
    <row r="26" spans="3:17">
      <c r="C26" s="186"/>
      <c r="D26" s="184" t="s">
        <v>108</v>
      </c>
      <c r="E26" s="130" t="s">
        <v>95</v>
      </c>
      <c r="F26" s="132">
        <v>37.4</v>
      </c>
      <c r="G26" s="133">
        <v>55.120000000000005</v>
      </c>
      <c r="H26" s="133">
        <v>51.752499999999998</v>
      </c>
      <c r="I26" s="133">
        <v>49.1</v>
      </c>
      <c r="J26" s="134">
        <f>AVERAGE(D19:G19)</f>
        <v>56.03</v>
      </c>
      <c r="K26" s="134">
        <f>AVERAGE(H19:K19)</f>
        <v>50.3825</v>
      </c>
      <c r="L26" s="134">
        <f>AVERAGE(L19:O19)</f>
        <v>52.517499999999998</v>
      </c>
      <c r="M26" s="134">
        <f>AVERAGE(P19:Q19)</f>
        <v>44.64</v>
      </c>
    </row>
    <row r="27" spans="3:17">
      <c r="C27" s="186"/>
      <c r="D27" s="185"/>
      <c r="E27" s="128" t="s">
        <v>96</v>
      </c>
      <c r="F27" s="132">
        <v>14.8</v>
      </c>
      <c r="G27" s="133">
        <v>28.4</v>
      </c>
      <c r="H27" s="133">
        <v>34.271999999999998</v>
      </c>
      <c r="I27" s="133">
        <v>23.7</v>
      </c>
      <c r="J27" s="134">
        <f>AVERAGE(D20:G20)</f>
        <v>36.8215</v>
      </c>
      <c r="K27" s="134">
        <f>AVERAGE(H20:K20)</f>
        <v>30.773250000000001</v>
      </c>
      <c r="L27" s="134">
        <f>AVERAGE(L20:O20)</f>
        <v>30.727</v>
      </c>
      <c r="M27" s="134">
        <f>AVERAGE(P20:Q20)</f>
        <v>20.674999999999997</v>
      </c>
    </row>
    <row r="30" spans="3:17" ht="51">
      <c r="D30" s="129"/>
      <c r="E30" s="127"/>
      <c r="F30" s="126" t="s">
        <v>135</v>
      </c>
      <c r="G30" s="126" t="s">
        <v>151</v>
      </c>
      <c r="H30" s="126" t="s">
        <v>152</v>
      </c>
      <c r="I30" s="126" t="s">
        <v>153</v>
      </c>
      <c r="J30" s="126" t="s">
        <v>149</v>
      </c>
      <c r="K30" s="126" t="s">
        <v>155</v>
      </c>
      <c r="L30" s="126" t="s">
        <v>150</v>
      </c>
      <c r="M30" s="126" t="s">
        <v>156</v>
      </c>
    </row>
    <row r="31" spans="3:17">
      <c r="D31" s="184" t="s">
        <v>107</v>
      </c>
      <c r="E31" s="130" t="s">
        <v>95</v>
      </c>
      <c r="F31" s="132">
        <f>STDEV(E6:G6)</f>
        <v>1.1887388274975346</v>
      </c>
      <c r="G31" s="133">
        <f>STDEV(H6:K6)</f>
        <v>1.5904192319426802</v>
      </c>
      <c r="H31" s="133">
        <f>STDEV(L6:O6)</f>
        <v>3.7831765753134867</v>
      </c>
      <c r="I31" s="133">
        <f>STDEV(P6:S6)</f>
        <v>2.0968150450941381</v>
      </c>
      <c r="J31" s="134">
        <f>STDEV(D10:G10)</f>
        <v>2.872246507526536</v>
      </c>
      <c r="K31" s="134">
        <f>STDEV(H10:K10)</f>
        <v>2.2608460805635908</v>
      </c>
      <c r="L31" s="134">
        <f>STDEV(L10:O10)</f>
        <v>1.5500645147863827</v>
      </c>
      <c r="M31" s="134">
        <f>STDEV(P10:Q10)</f>
        <v>0.30405591591112596</v>
      </c>
    </row>
    <row r="32" spans="3:17">
      <c r="D32" s="185"/>
      <c r="E32" s="128" t="s">
        <v>96</v>
      </c>
      <c r="F32" s="132">
        <f>STDEV(E7:G7)</f>
        <v>1.5545524543524811</v>
      </c>
      <c r="G32" s="133">
        <f>STDEV(H7:K7)</f>
        <v>4.0358397721746799</v>
      </c>
      <c r="H32" s="133">
        <f>STDEV(M7:O7)</f>
        <v>2.0232608169322073</v>
      </c>
      <c r="I32" s="133">
        <f>STDEV(Q7:S7)</f>
        <v>4.9012685432787118</v>
      </c>
      <c r="J32" s="134">
        <f>STDEV(D11:G11)</f>
        <v>6.8727924213282181</v>
      </c>
      <c r="K32" s="134">
        <f>STDEV(H11:K11)</f>
        <v>4.1157852531443098</v>
      </c>
      <c r="L32" s="134">
        <f>STDEV(L11:O11)</f>
        <v>5.8319407861648571</v>
      </c>
      <c r="M32" s="134">
        <f>STDEV(P11:Q11)</f>
        <v>1.5556349186104279</v>
      </c>
    </row>
    <row r="33" spans="3:14">
      <c r="C33" s="131" t="s">
        <v>157</v>
      </c>
      <c r="D33" s="184" t="s">
        <v>108</v>
      </c>
      <c r="E33" s="130" t="s">
        <v>95</v>
      </c>
      <c r="F33" s="132">
        <f>STDEV(E15:G15)</f>
        <v>2.4436925611322513</v>
      </c>
      <c r="G33" s="133">
        <f>STDEV(H15:K15)</f>
        <v>0.8458132181511091</v>
      </c>
      <c r="H33" s="133">
        <f>STDEV(L15:O15)</f>
        <v>3.8123254058382567</v>
      </c>
      <c r="I33" s="133">
        <f>STDEV(P15:S15)</f>
        <v>1.3293200016045781</v>
      </c>
      <c r="J33" s="134">
        <f>STDEV(D19:G19)</f>
        <v>2.4757355809268917</v>
      </c>
      <c r="K33" s="134">
        <f>STDEV(H19:K19)</f>
        <v>1.4611496615106836</v>
      </c>
      <c r="L33" s="134">
        <f>STDEV(L19:O19)</f>
        <v>1.3390886204183237</v>
      </c>
      <c r="M33" s="134">
        <f>STDEV(P19:Q19)</f>
        <v>1.371787155501943</v>
      </c>
    </row>
    <row r="34" spans="3:14">
      <c r="D34" s="185"/>
      <c r="E34" s="128" t="s">
        <v>96</v>
      </c>
      <c r="F34" s="132">
        <f>STDEV(E16:G16)</f>
        <v>6.0299336646434263</v>
      </c>
      <c r="G34" s="133">
        <f>STDEV(H16:K16)</f>
        <v>1.7809805351734052</v>
      </c>
      <c r="H34" s="133">
        <f>STDEV(L16:O16)</f>
        <v>3.2350434309295069</v>
      </c>
      <c r="I34" s="133">
        <f>STDEV(P16:S16)</f>
        <v>2.692968668588624</v>
      </c>
      <c r="J34" s="134">
        <f>STDEV(D20:G20)</f>
        <v>8.3297384312674083</v>
      </c>
      <c r="K34" s="134">
        <f>STDEV(H20:K20)</f>
        <v>2.6873819198865778</v>
      </c>
      <c r="L34" s="134">
        <f>STDEV(L20:O20)</f>
        <v>7.1187514822942468</v>
      </c>
      <c r="M34" s="134">
        <f>STDEV(P20:Q20)</f>
        <v>1.8314065632731971</v>
      </c>
    </row>
    <row r="40" spans="3:14">
      <c r="N40" s="135"/>
    </row>
  </sheetData>
  <mergeCells count="28">
    <mergeCell ref="F2:O2"/>
    <mergeCell ref="B16:C16"/>
    <mergeCell ref="B15:C15"/>
    <mergeCell ref="A15:A16"/>
    <mergeCell ref="A13:C14"/>
    <mergeCell ref="D4:G4"/>
    <mergeCell ref="H4:K4"/>
    <mergeCell ref="A4:C5"/>
    <mergeCell ref="A6:B7"/>
    <mergeCell ref="H17:K17"/>
    <mergeCell ref="L17:O17"/>
    <mergeCell ref="P17:Q17"/>
    <mergeCell ref="C24:C27"/>
    <mergeCell ref="P4:S4"/>
    <mergeCell ref="P13:S13"/>
    <mergeCell ref="H13:K13"/>
    <mergeCell ref="D13:G13"/>
    <mergeCell ref="L4:O4"/>
    <mergeCell ref="L13:O13"/>
    <mergeCell ref="D8:G8"/>
    <mergeCell ref="H8:K8"/>
    <mergeCell ref="L8:O8"/>
    <mergeCell ref="P8:Q8"/>
    <mergeCell ref="D31:D32"/>
    <mergeCell ref="D33:D34"/>
    <mergeCell ref="D24:D25"/>
    <mergeCell ref="D26:D27"/>
    <mergeCell ref="D17:G17"/>
  </mergeCells>
  <phoneticPr fontId="13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schema</vt:lpstr>
      <vt:lpstr>complete data</vt:lpstr>
      <vt:lpstr>8 preparation comparaison</vt:lpstr>
      <vt:lpstr>final results of profiles</vt:lpstr>
      <vt:lpstr>rb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2012-05-15T12:48:59Z</dcterms:modified>
</cp:coreProperties>
</file>